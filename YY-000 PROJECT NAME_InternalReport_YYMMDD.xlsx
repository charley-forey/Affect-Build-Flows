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2.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affectbuildllc.sharepoint.com/sites/AFFECTBUILD1/Shared Documents/00 PROJECTS/YY-000 STANDARD PROJECT TEMPLATE/03 PROJECT ADMIN/01 PROJECT MGMT/09 MONHTLY REPORTS/INTERNAL MONTHLY REPORT/"/>
    </mc:Choice>
  </mc:AlternateContent>
  <xr:revisionPtr revIDLastSave="17" documentId="8_{986557CD-5BC7-924E-A118-A7642E432A65}" xr6:coauthVersionLast="47" xr6:coauthVersionMax="47" xr10:uidLastSave="{DE1AA8AF-1512-C346-B62C-3189575FC3BA}"/>
  <bookViews>
    <workbookView xWindow="2860" yWindow="760" windowWidth="30240" windowHeight="17840" firstSheet="1" activeTab="1" xr2:uid="{73CD28F8-3810-CD46-A60F-7F9AB2F162FD}"/>
  </bookViews>
  <sheets>
    <sheet name="INSTRUCTIONS" sheetId="8" r:id="rId1"/>
    <sheet name="DASHBOARD" sheetId="1" r:id="rId2"/>
    <sheet name="WINS" sheetId="3" r:id="rId3"/>
    <sheet name="SCHEDULE" sheetId="4" r:id="rId4"/>
    <sheet name="RISKS" sheetId="6" r:id="rId5"/>
    <sheet name="SAFETY" sheetId="5" r:id="rId6"/>
    <sheet name="QUALITY" sheetId="7" r:id="rId7"/>
    <sheet name="SUBMITTALS &amp; RFI" sheetId="11" r:id="rId8"/>
    <sheet name="FINANCIALS" sheetId="2" r:id="rId9"/>
    <sheet name="SCORECARD CALC" sheetId="12" r:id="rId10"/>
    <sheet name="DROPDOWN" sheetId="9" r:id="rId11"/>
  </sheets>
  <definedNames>
    <definedName name="_xlnm.Print_Area" localSheetId="1">DASHBOARD!$A$1:$AX$77</definedName>
    <definedName name="_xlnm.Print_Area" localSheetId="2">WINS!$B$1:$C$8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38" i="1" l="1"/>
  <c r="AU37" i="1"/>
  <c r="E7" i="12"/>
  <c r="G7" i="12" s="1"/>
  <c r="E4" i="12"/>
  <c r="AS30" i="1"/>
  <c r="C71" i="1"/>
  <c r="AT25" i="1"/>
  <c r="C26" i="2"/>
  <c r="C42" i="12"/>
  <c r="C72" i="1" s="1"/>
  <c r="AS31" i="1"/>
  <c r="E10" i="12" s="1"/>
  <c r="G28" i="12"/>
  <c r="AT21" i="1"/>
  <c r="E13" i="12" s="1"/>
  <c r="G13" i="12" s="1"/>
  <c r="E6" i="2"/>
  <c r="AE57" i="1"/>
  <c r="AE55" i="1"/>
  <c r="AE53" i="1"/>
  <c r="AE51" i="1"/>
  <c r="W57" i="1"/>
  <c r="W55" i="1"/>
  <c r="W53" i="1"/>
  <c r="W51" i="1"/>
  <c r="U57" i="1"/>
  <c r="U55" i="1"/>
  <c r="U53" i="1"/>
  <c r="U51" i="1"/>
  <c r="K57" i="1"/>
  <c r="K53" i="1"/>
  <c r="K51" i="1"/>
  <c r="K49" i="1"/>
  <c r="P57" i="1"/>
  <c r="P55" i="1"/>
  <c r="P53" i="1"/>
  <c r="P51" i="1"/>
  <c r="M57" i="1"/>
  <c r="M55" i="1"/>
  <c r="M53" i="1"/>
  <c r="M51" i="1"/>
  <c r="K55" i="1"/>
  <c r="L6" i="4"/>
  <c r="L5" i="4"/>
  <c r="M5" i="4"/>
  <c r="M6" i="4"/>
  <c r="M7" i="4"/>
  <c r="M14" i="4"/>
  <c r="M9" i="4"/>
  <c r="M10" i="4"/>
  <c r="M11" i="4"/>
  <c r="M12" i="4"/>
  <c r="M13" i="4"/>
  <c r="M8" i="4"/>
  <c r="L8" i="4"/>
  <c r="L9" i="4"/>
  <c r="L7" i="4"/>
  <c r="C54" i="1"/>
  <c r="C48" i="1"/>
  <c r="C42" i="1"/>
  <c r="C36" i="1"/>
  <c r="C27" i="1"/>
  <c r="C21" i="1"/>
  <c r="C15" i="1"/>
  <c r="C9" i="1"/>
  <c r="O72" i="1"/>
  <c r="O73" i="1"/>
  <c r="O74" i="1"/>
  <c r="O75" i="1"/>
  <c r="O71" i="1"/>
  <c r="K72" i="1"/>
  <c r="K73" i="1"/>
  <c r="K74" i="1"/>
  <c r="K75" i="1"/>
  <c r="K71" i="1"/>
  <c r="P67" i="1"/>
  <c r="O67" i="1"/>
  <c r="M67" i="1"/>
  <c r="E25" i="12" s="1"/>
  <c r="G25" i="12" s="1"/>
  <c r="K67" i="1"/>
  <c r="AE49" i="1"/>
  <c r="AE48" i="1"/>
  <c r="M49" i="1"/>
  <c r="P49" i="1"/>
  <c r="U49" i="1"/>
  <c r="W49" i="1"/>
  <c r="W48" i="1"/>
  <c r="U48" i="1"/>
  <c r="P48" i="1"/>
  <c r="M48" i="1"/>
  <c r="K48" i="1"/>
  <c r="U64" i="1"/>
  <c r="R65" i="1"/>
  <c r="R66" i="1"/>
  <c r="R67" i="1"/>
  <c r="R68" i="1"/>
  <c r="R70" i="1"/>
  <c r="R71" i="1"/>
  <c r="R72" i="1"/>
  <c r="R73" i="1"/>
  <c r="R74" i="1"/>
  <c r="R75" i="1"/>
  <c r="AU65" i="1"/>
  <c r="AU66" i="1"/>
  <c r="AU67" i="1"/>
  <c r="AU68" i="1"/>
  <c r="AU70" i="1"/>
  <c r="AU71" i="1"/>
  <c r="AU72" i="1"/>
  <c r="AU73" i="1"/>
  <c r="AU74" i="1"/>
  <c r="AU75" i="1"/>
  <c r="AT65" i="1"/>
  <c r="AT66" i="1"/>
  <c r="AT67" i="1"/>
  <c r="AT68" i="1"/>
  <c r="AT70" i="1"/>
  <c r="AT71" i="1"/>
  <c r="AT72" i="1"/>
  <c r="AT73" i="1"/>
  <c r="AT74" i="1"/>
  <c r="AT75" i="1"/>
  <c r="AU64" i="1"/>
  <c r="AT64" i="1"/>
  <c r="AO64" i="1"/>
  <c r="AO65" i="1"/>
  <c r="AO66" i="1"/>
  <c r="AO67" i="1"/>
  <c r="AO68" i="1"/>
  <c r="AO70" i="1"/>
  <c r="AO71" i="1"/>
  <c r="AO72" i="1"/>
  <c r="AO73" i="1"/>
  <c r="AO74" i="1"/>
  <c r="AO75" i="1"/>
  <c r="AM65" i="1"/>
  <c r="AM66" i="1"/>
  <c r="AM67" i="1"/>
  <c r="AM68" i="1"/>
  <c r="AM70" i="1"/>
  <c r="AM71" i="1"/>
  <c r="AM72" i="1"/>
  <c r="AM73" i="1"/>
  <c r="AM74" i="1"/>
  <c r="AM75" i="1"/>
  <c r="AM64" i="1"/>
  <c r="AJ64" i="1"/>
  <c r="AJ65" i="1"/>
  <c r="AJ66" i="1"/>
  <c r="AJ67" i="1"/>
  <c r="AJ68" i="1"/>
  <c r="AJ70" i="1"/>
  <c r="AJ71" i="1"/>
  <c r="AJ72" i="1"/>
  <c r="AJ73" i="1"/>
  <c r="AJ74" i="1"/>
  <c r="AJ75" i="1"/>
  <c r="AA65" i="1"/>
  <c r="AA66" i="1"/>
  <c r="AA67" i="1"/>
  <c r="AA68" i="1"/>
  <c r="AA70" i="1"/>
  <c r="AA71" i="1"/>
  <c r="AA72" i="1"/>
  <c r="AA73" i="1"/>
  <c r="AA74" i="1"/>
  <c r="AA75" i="1"/>
  <c r="AA64" i="1"/>
  <c r="U66" i="1"/>
  <c r="U67" i="1"/>
  <c r="U68" i="1"/>
  <c r="U70" i="1"/>
  <c r="U71" i="1"/>
  <c r="U72" i="1"/>
  <c r="U73" i="1"/>
  <c r="U74" i="1"/>
  <c r="U75" i="1"/>
  <c r="U65" i="1"/>
  <c r="R64" i="1"/>
  <c r="AT14" i="1"/>
  <c r="AR33" i="1"/>
  <c r="AR34" i="1"/>
  <c r="AR32" i="1"/>
  <c r="D62" i="2"/>
  <c r="AT23" i="1" s="1"/>
  <c r="E15" i="2"/>
  <c r="AV38" i="1"/>
  <c r="AV37" i="1"/>
  <c r="AT37" i="1"/>
  <c r="AT38" i="1"/>
  <c r="L4" i="5"/>
  <c r="L5" i="5"/>
  <c r="L6" i="5"/>
  <c r="L7" i="5"/>
  <c r="L8" i="5"/>
  <c r="L9" i="5"/>
  <c r="L10" i="5"/>
  <c r="L11" i="5"/>
  <c r="L12" i="5"/>
  <c r="L13" i="5"/>
  <c r="L14" i="5"/>
  <c r="L15" i="5"/>
  <c r="L16" i="5"/>
  <c r="L17" i="5"/>
  <c r="L18" i="5"/>
  <c r="L19" i="5"/>
  <c r="L20" i="5"/>
  <c r="L21" i="5"/>
  <c r="L22" i="5"/>
  <c r="L23" i="5"/>
  <c r="L24" i="5"/>
  <c r="L25" i="5"/>
  <c r="L3" i="5"/>
  <c r="J27" i="5"/>
  <c r="AT17" i="1"/>
  <c r="AT16" i="1"/>
  <c r="AT19" i="1"/>
  <c r="AT18" i="1"/>
  <c r="O11" i="1"/>
  <c r="T19" i="1"/>
  <c r="T20" i="1"/>
  <c r="T21" i="1"/>
  <c r="T22" i="1"/>
  <c r="T18" i="1"/>
  <c r="P19" i="1"/>
  <c r="P20" i="1"/>
  <c r="P21" i="1"/>
  <c r="P22" i="1"/>
  <c r="P18" i="1"/>
  <c r="T11" i="1"/>
  <c r="Q11" i="1"/>
  <c r="G4" i="4"/>
  <c r="AM27" i="1"/>
  <c r="AJ27" i="1"/>
  <c r="V27" i="1"/>
  <c r="T27" i="1"/>
  <c r="K27" i="1"/>
  <c r="AM42" i="1"/>
  <c r="AM40" i="1"/>
  <c r="AM38" i="1"/>
  <c r="AM36" i="1"/>
  <c r="AM34" i="1"/>
  <c r="AM32" i="1"/>
  <c r="AM30" i="1"/>
  <c r="AJ42" i="1"/>
  <c r="AJ40" i="1"/>
  <c r="AJ38" i="1"/>
  <c r="AJ36" i="1"/>
  <c r="AJ34" i="1"/>
  <c r="AJ32" i="1"/>
  <c r="AJ30" i="1"/>
  <c r="AJ28" i="1"/>
  <c r="V42" i="1"/>
  <c r="V40" i="1"/>
  <c r="V38" i="1"/>
  <c r="V36" i="1"/>
  <c r="V34" i="1"/>
  <c r="V32" i="1"/>
  <c r="V30" i="1"/>
  <c r="K42" i="1"/>
  <c r="K40" i="1"/>
  <c r="K38" i="1"/>
  <c r="K36" i="1"/>
  <c r="K34" i="1"/>
  <c r="K32" i="1"/>
  <c r="K30" i="1"/>
  <c r="T42" i="1"/>
  <c r="T40" i="1"/>
  <c r="T38" i="1"/>
  <c r="T36" i="1"/>
  <c r="T34" i="1"/>
  <c r="T32" i="1"/>
  <c r="T30" i="1"/>
  <c r="W20" i="1"/>
  <c r="W18" i="1"/>
  <c r="W16" i="1"/>
  <c r="AL20" i="1"/>
  <c r="AL18" i="1"/>
  <c r="AL16" i="1"/>
  <c r="AL14" i="1"/>
  <c r="AG20" i="1"/>
  <c r="AG18" i="1"/>
  <c r="AG16" i="1"/>
  <c r="AG14" i="1"/>
  <c r="AB20" i="1"/>
  <c r="AB18" i="1"/>
  <c r="AB14" i="1"/>
  <c r="AB16" i="1"/>
  <c r="W14" i="1"/>
  <c r="AL12" i="1"/>
  <c r="AG12" i="1"/>
  <c r="AB12" i="1"/>
  <c r="W12" i="1"/>
  <c r="V20" i="1"/>
  <c r="V18" i="1"/>
  <c r="V16" i="1"/>
  <c r="V14" i="1"/>
  <c r="V12" i="1"/>
  <c r="AL10" i="1"/>
  <c r="AG10" i="1"/>
  <c r="AB10" i="1"/>
  <c r="W10" i="1"/>
  <c r="V10" i="1"/>
  <c r="K4" i="4"/>
  <c r="D4" i="4"/>
  <c r="E4" i="4"/>
  <c r="F4" i="4"/>
  <c r="H4" i="4"/>
  <c r="I4" i="4"/>
  <c r="O12" i="1" s="1"/>
  <c r="J4" i="4"/>
  <c r="L10" i="4"/>
  <c r="L11" i="4"/>
  <c r="L12" i="4"/>
  <c r="L13" i="4"/>
  <c r="L14" i="4"/>
  <c r="AM28" i="1"/>
  <c r="V28" i="1"/>
  <c r="T28" i="1"/>
  <c r="K28" i="1"/>
  <c r="G4" i="12" l="1"/>
  <c r="G10" i="12"/>
  <c r="M16" i="1"/>
  <c r="E22" i="12" s="1"/>
  <c r="G22" i="12" s="1"/>
  <c r="L19" i="1"/>
  <c r="E19" i="12" s="1"/>
  <c r="G19" i="12" s="1"/>
  <c r="AM57" i="1"/>
  <c r="C5" i="2"/>
  <c r="D7" i="5"/>
  <c r="D34" i="5" s="1"/>
  <c r="E13" i="2"/>
  <c r="C10" i="2"/>
  <c r="AT15" i="1" s="1"/>
  <c r="O14" i="1"/>
  <c r="K20" i="4"/>
  <c r="K22" i="4" s="1"/>
  <c r="I20" i="4"/>
  <c r="I22" i="4" s="1"/>
  <c r="P12" i="1" s="1"/>
  <c r="E20" i="4"/>
  <c r="E22" i="4" s="1"/>
  <c r="P10" i="1" s="1"/>
  <c r="M14" i="1"/>
  <c r="D5" i="7"/>
  <c r="D6" i="7"/>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C27" i="2"/>
  <c r="C28" i="2" s="1"/>
  <c r="C29" i="2" s="1"/>
  <c r="C30" i="2" s="1"/>
  <c r="C31" i="2" s="1"/>
  <c r="C32" i="2" s="1"/>
  <c r="C33" i="2" s="1"/>
  <c r="C34" i="2" s="1"/>
  <c r="C35" i="2" s="1"/>
  <c r="C36" i="2" s="1"/>
  <c r="C37" i="2" s="1"/>
  <c r="C38" i="2" s="1"/>
  <c r="C39" i="2" s="1"/>
  <c r="C40" i="2" s="1"/>
  <c r="C41" i="2" s="1"/>
  <c r="C42" i="2" s="1"/>
  <c r="C43" i="2" s="1"/>
  <c r="C44" i="2" s="1"/>
  <c r="C45" i="2" s="1"/>
  <c r="C46" i="2" s="1"/>
  <c r="C47" i="2" s="1"/>
  <c r="C48" i="2" s="1"/>
  <c r="C49" i="2" s="1"/>
  <c r="C50" i="2" s="1"/>
  <c r="C51" i="2" s="1"/>
  <c r="C52" i="2" s="1"/>
  <c r="C53" i="2" s="1"/>
  <c r="C54" i="2" s="1"/>
  <c r="M11" i="1"/>
  <c r="E12" i="2"/>
  <c r="O10" i="1"/>
  <c r="M12" i="1"/>
  <c r="L21" i="1" s="1"/>
  <c r="M10" i="1"/>
  <c r="AT10" i="1"/>
  <c r="AS38" i="1"/>
  <c r="AS37" i="1"/>
  <c r="J56" i="2"/>
  <c r="AU40" i="1" s="1"/>
  <c r="I26" i="2"/>
  <c r="C4" i="7"/>
  <c r="C5" i="7" s="1"/>
  <c r="C6" i="7" s="1"/>
  <c r="E14" i="2"/>
  <c r="E9" i="2"/>
  <c r="E4" i="2"/>
  <c r="AU10" i="1" s="1"/>
  <c r="AT13" i="1"/>
  <c r="AT9" i="1"/>
  <c r="E35" i="7"/>
  <c r="P64" i="1" s="1"/>
  <c r="C4" i="5"/>
  <c r="C5" i="5" s="1"/>
  <c r="C6" i="5" s="1"/>
  <c r="F34" i="5"/>
  <c r="E34" i="5"/>
  <c r="E5" i="2" l="1"/>
  <c r="AU12" i="1" s="1"/>
  <c r="AT12" i="1"/>
  <c r="D35" i="7"/>
  <c r="M64" i="1" s="1"/>
  <c r="F56" i="2"/>
  <c r="AT27" i="1" s="1"/>
  <c r="I27" i="2"/>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E10" i="2"/>
  <c r="AM54" i="1"/>
  <c r="C7" i="5"/>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AM48" i="1"/>
  <c r="AM51" i="1"/>
  <c r="L16" i="1"/>
  <c r="O16" i="1" s="1"/>
  <c r="O21" i="1"/>
  <c r="AT11" i="1"/>
  <c r="C7" i="7"/>
  <c r="C8" i="7" s="1"/>
  <c r="C9" i="7" s="1"/>
  <c r="C10" i="7" s="1"/>
  <c r="C11" i="7" s="1"/>
  <c r="C12" i="7" s="1"/>
  <c r="C13" i="7" s="1"/>
  <c r="C14" i="7" s="1"/>
  <c r="C15" i="7" s="1"/>
  <c r="C16" i="7" s="1"/>
  <c r="C17" i="7" s="1"/>
  <c r="C18" i="7" s="1"/>
  <c r="C19" i="7" s="1"/>
  <c r="C20" i="7" s="1"/>
  <c r="C21" i="7" s="1"/>
  <c r="C22" i="7" s="1"/>
  <c r="C23" i="7" s="1"/>
  <c r="C24" i="7" s="1"/>
  <c r="C25" i="7" s="1"/>
  <c r="C26" i="7" s="1"/>
  <c r="C27" i="7" s="1"/>
  <c r="C28" i="7" s="1"/>
  <c r="C29" i="7" s="1"/>
  <c r="C30" i="7" s="1"/>
  <c r="C31" i="7" s="1"/>
  <c r="C32" i="7" s="1"/>
  <c r="C33" i="7" s="1"/>
  <c r="P14" i="1"/>
  <c r="G20" i="4"/>
  <c r="G22" i="4" s="1"/>
  <c r="P11" i="1" s="1"/>
  <c r="O19" i="1"/>
  <c r="AI48" i="1" l="1"/>
  <c r="AI54" i="1"/>
  <c r="AI51" i="1"/>
  <c r="E16" i="12" s="1"/>
  <c r="G16" i="12" s="1"/>
  <c r="G31" i="12" s="1"/>
  <c r="C65" i="1" s="1"/>
  <c r="O64" i="1"/>
  <c r="K64" i="1"/>
  <c r="AT40" i="1"/>
  <c r="I27" i="5" l="1"/>
  <c r="L27" i="5"/>
  <c r="AI5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tc={3FE88E30-AAFF-7946-B891-F58A2E520001}</author>
  </authors>
  <commentList>
    <comment ref="AU4" authorId="0" shapeId="0" xr:uid="{3FE88E30-AAFF-7946-B891-F58A2E520001}">
      <text>
        <t>[Threaded comment]
Your version of Excel allows you to read this threaded comment; however, any edits to it will get removed if the file is opened in a newer version of Excel. Learn more: https://go.microsoft.com/fwlink/?linkid=870924
Comment:
    Date needs to be first of the month to pull data.</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<sst xmlns="http://schemas.openxmlformats.org/spreadsheetml/2006/main" count="884" uniqueCount="510">
  <si>
    <t>Section</t>
  </si>
  <si>
    <t>Instruction</t>
  </si>
  <si>
    <t>General Use</t>
  </si>
  <si>
    <t>Do not rename, move, or delete any existing tabs.</t>
  </si>
  <si>
    <t>Only input data in cells that have blue text.</t>
  </si>
  <si>
    <t>Use drop-downs where provided to ensure consistent data entry.</t>
  </si>
  <si>
    <t>Update the file monthly as needed to keep dashboard data accurate.</t>
  </si>
  <si>
    <t>Blue Text Fields</t>
  </si>
  <si>
    <t xml:space="preserve">Blue text indicates a a cell for data to be entered. </t>
  </si>
  <si>
    <t>Editing Guidance</t>
  </si>
  <si>
    <t>Do not remove rows with formulas. Add new rows at the bottom of the tables.</t>
  </si>
  <si>
    <t>Data Format</t>
  </si>
  <si>
    <t>Use MM/DD/YYYY format for all dates. Ensure consistent spelling for trade names and status types. Date needs to be first of the month to pull data.</t>
  </si>
  <si>
    <t>Backup Reminder</t>
  </si>
  <si>
    <t>Save a backup of the file before major updates. Use version control in the file name if necessary.</t>
  </si>
  <si>
    <t>Dashboard Tab</t>
  </si>
  <si>
    <t>The dashboard is read-only. All charts and KPIs auto-populate from the other tabs. Do not manually enter data in this tab.</t>
  </si>
  <si>
    <t>Schedule Tab</t>
  </si>
  <si>
    <t>Enter Critical path items only! Include progress, upcoming look-ahead items, and any delays.</t>
  </si>
  <si>
    <t>Safety Tab</t>
  </si>
  <si>
    <t>Record toolbox talks, standdowns, incidents, weekend/OT work, and site visits (DOB, FDNY, OSHA).</t>
  </si>
  <si>
    <t>Risks Tab</t>
  </si>
  <si>
    <t xml:space="preserve">Use this tab to track key project risks, including scope gaps, outstanding decisions, coordination issues, or external dependencies. For each item, define the risk, assess its impact, outline the mitigation strategy, assign an owner, and update the status </t>
  </si>
  <si>
    <t>Quality Tab</t>
  </si>
  <si>
    <t>Log top issues by trade, open days, benchmark inspections, and NCRs. Include resolution strategy.</t>
  </si>
  <si>
    <t>RFIs &amp; Submittals Tab</t>
  </si>
  <si>
    <t>Track RFIs and Submittals. Log RFI number, description, status, submission and response dates. Use "Open", "Closed", or "Overdue" for status tracking.</t>
  </si>
  <si>
    <t>Financials Tab</t>
  </si>
  <si>
    <t>Input actual costs, projected costs, and budget vs actuals. GC/GR variance tracking is automated.</t>
  </si>
  <si>
    <t>Scorecard Tab</t>
  </si>
  <si>
    <t>Use this tab to evaluate overall project health using a weighted scoring system across key performance indicators, including financials, schedule, safety, and reporting. Input each category's score based on defined metrics, and update regularly to monitor performance trends. Include client satisfaction survey results below to track feedback and engagement</t>
  </si>
  <si>
    <t>SECTION</t>
  </si>
  <si>
    <t>RESPONSIBILITY</t>
  </si>
  <si>
    <t>CONTRIBUTOR</t>
  </si>
  <si>
    <t>Dashboard</t>
  </si>
  <si>
    <t>Read Only. Ask Administrator</t>
  </si>
  <si>
    <t>Wins</t>
  </si>
  <si>
    <t>PM</t>
  </si>
  <si>
    <t>Superintendent &amp; Foremen</t>
  </si>
  <si>
    <t>Schedule</t>
  </si>
  <si>
    <t>Risks</t>
  </si>
  <si>
    <t>Safety</t>
  </si>
  <si>
    <t>Quality</t>
  </si>
  <si>
    <t>Submittals &amp; RFIs</t>
  </si>
  <si>
    <t>Financial</t>
  </si>
  <si>
    <t>QS/Estimator</t>
  </si>
  <si>
    <t>PM &amp; Project Accountant</t>
  </si>
  <si>
    <t>Scorecard Calc</t>
  </si>
  <si>
    <t xml:space="preserve">PM &amp; Marketing </t>
  </si>
  <si>
    <t>PM &amp; Marketing</t>
  </si>
  <si>
    <t>Monthly Progress Report</t>
  </si>
  <si>
    <t>WINS (REALIZED)</t>
  </si>
  <si>
    <t>SCHEDULE</t>
  </si>
  <si>
    <t>FINANCIAL</t>
  </si>
  <si>
    <t>Approved by Client</t>
  </si>
  <si>
    <t>Start</t>
  </si>
  <si>
    <t>Finish</t>
  </si>
  <si>
    <t>MTM Delta</t>
  </si>
  <si>
    <t>Rev #</t>
  </si>
  <si>
    <t>Original Contract Amt.</t>
  </si>
  <si>
    <t>MTM DELTA</t>
  </si>
  <si>
    <t>Contract</t>
  </si>
  <si>
    <t>Current Contract Amt.</t>
  </si>
  <si>
    <t>Baseline</t>
  </si>
  <si>
    <t>Variance</t>
  </si>
  <si>
    <t>Currently Tracking</t>
  </si>
  <si>
    <t>Pending CO's</t>
  </si>
  <si>
    <t>Contingency Remaining</t>
  </si>
  <si>
    <t>Actual</t>
  </si>
  <si>
    <t>Billed this Month</t>
  </si>
  <si>
    <t>Total Billed</t>
  </si>
  <si>
    <t>Total Paid</t>
  </si>
  <si>
    <t>AVG Daily Manpower</t>
  </si>
  <si>
    <t>Remaining Balance</t>
  </si>
  <si>
    <t>COMPLETION VARIANCE</t>
  </si>
  <si>
    <t>Retainage</t>
  </si>
  <si>
    <t>Cost to Complete</t>
  </si>
  <si>
    <t>CRITICAL MISSED STARTS</t>
  </si>
  <si>
    <t>PROJECT % COMPLETE</t>
  </si>
  <si>
    <t>AGE OF OLDEST UNAPPROVED CO</t>
  </si>
  <si>
    <t>RISK BOUGHT OUT</t>
  </si>
  <si>
    <t>RISKS (Ranked by Severity)</t>
  </si>
  <si>
    <t>AGING BALANCE</t>
  </si>
  <si>
    <t>AVG. DAYS FOR PAYMENT RECEIVED</t>
  </si>
  <si>
    <t>MONTH END CLOSED OUT</t>
  </si>
  <si>
    <t>PROCORE FORECASTING IN LINE W/SCHEDULE</t>
  </si>
  <si>
    <t>FOCUS AREAS (UPCOMING MTH)</t>
  </si>
  <si>
    <t>MONITORED RESOURCES UPDATED</t>
  </si>
  <si>
    <t>Budget</t>
  </si>
  <si>
    <t>Forecast</t>
  </si>
  <si>
    <t>Spent to Date / %</t>
  </si>
  <si>
    <t>Status</t>
  </si>
  <si>
    <t>GR's</t>
  </si>
  <si>
    <t>GC's</t>
  </si>
  <si>
    <t>This Period / MTM Delta</t>
  </si>
  <si>
    <t>Total to Date</t>
  </si>
  <si>
    <t xml:space="preserve"> OT HOURS</t>
  </si>
  <si>
    <t>CRITICAL SUBMITTALS &amp; RFIS</t>
  </si>
  <si>
    <t>SAFETY</t>
  </si>
  <si>
    <t>TOTAL HOURS WORKED</t>
  </si>
  <si>
    <t>This Period</t>
  </si>
  <si>
    <t>RECORDABLE INCIDENTS</t>
  </si>
  <si>
    <t>TOTAL ORIENTATIONS</t>
  </si>
  <si>
    <t>$ VALUE</t>
  </si>
  <si>
    <t>Total Open</t>
  </si>
  <si>
    <t>VIOLATIONS</t>
  </si>
  <si>
    <t>SCORECARD</t>
  </si>
  <si>
    <t>QUALITY</t>
  </si>
  <si>
    <t>PROJECT SCORECARD</t>
  </si>
  <si>
    <t>OBSERVATIONS</t>
  </si>
  <si>
    <t>PUNCHLIST</t>
  </si>
  <si>
    <t>AVG. DAYS PAST DUE</t>
  </si>
  <si>
    <t>AVG. DAYS TO CLOSE</t>
  </si>
  <si>
    <t>MAIN OFFENDERS</t>
  </si>
  <si>
    <t>WIN #</t>
  </si>
  <si>
    <t>DESCRIPTION (TEXT NEEDS TO FIT IN THE COLUM WIDTH AND HEIGHT)</t>
  </si>
  <si>
    <t>WIN 1</t>
  </si>
  <si>
    <t>Topped Out Superstructure</t>
  </si>
  <si>
    <t>WIN 2</t>
  </si>
  <si>
    <t>Major Submittals Approved (Window Wall, Porcelain, Doors)</t>
  </si>
  <si>
    <t>WIN 3</t>
  </si>
  <si>
    <t>No accidents</t>
  </si>
  <si>
    <t>WIN 4</t>
  </si>
  <si>
    <t>Quickly Rescinded PSWO</t>
  </si>
  <si>
    <t>FA 1</t>
  </si>
  <si>
    <t>FA 2</t>
  </si>
  <si>
    <t>FA 3</t>
  </si>
  <si>
    <t>FA 4</t>
  </si>
  <si>
    <t>TASK</t>
  </si>
  <si>
    <t>CONTRACT START</t>
  </si>
  <si>
    <t>CONTRACT FINISH</t>
  </si>
  <si>
    <t>BASELINE START</t>
  </si>
  <si>
    <t>BASELINE FINISH</t>
  </si>
  <si>
    <t>CURRENT START</t>
  </si>
  <si>
    <t>CURRENT FINISH</t>
  </si>
  <si>
    <t>ACTUAL START</t>
  </si>
  <si>
    <t>ACTUAL FINISH</t>
  </si>
  <si>
    <t>START VARIANCE</t>
  </si>
  <si>
    <t>FINISH VARIANCE</t>
  </si>
  <si>
    <t>INSTRUCTIONS FOR USE</t>
  </si>
  <si>
    <t>Project Milestones 
(Start &amp; Finish)</t>
  </si>
  <si>
    <t>1. FIRST ROW IS LOCKED
2. ALL BLANKS CELL SHOULD RECEIVE AN NA
3. THE LAST LINE ON THIS TABLE SHOULD NEVER BE DELETED AND SHOULD ALWAYS BE SUB COMPLETETION
4. NEVER  HAVE ANY BLANK ROWS</t>
  </si>
  <si>
    <t>Critical Path Item 1</t>
  </si>
  <si>
    <t>Critical Path Item 2</t>
  </si>
  <si>
    <t>Critical Path Item 3</t>
  </si>
  <si>
    <t>Critical Path Item 4</t>
  </si>
  <si>
    <t>Critical Path Item 5</t>
  </si>
  <si>
    <t>NA</t>
  </si>
  <si>
    <t>Critical Path Item 6</t>
  </si>
  <si>
    <t>Critical Path Item 7</t>
  </si>
  <si>
    <t>Critical Path Item 8</t>
  </si>
  <si>
    <t>Critical Path Item 9</t>
  </si>
  <si>
    <t>Contractural Substaintial Completion
[DO NOT DELETE THIS LINE]</t>
  </si>
  <si>
    <t>Baseline Approved by Client</t>
  </si>
  <si>
    <t>🔴 N</t>
  </si>
  <si>
    <t>Baseline Revision</t>
  </si>
  <si>
    <t>Rev#1</t>
  </si>
  <si>
    <t>This Month</t>
  </si>
  <si>
    <t>Previous Month (Paste Special values)</t>
  </si>
  <si>
    <t>*Manually Input last months values. If first month reporting enter same value as this month.</t>
  </si>
  <si>
    <t>MTM Change</t>
  </si>
  <si>
    <t>AVERAGE Daily Manpower</t>
  </si>
  <si>
    <t>Company Name</t>
  </si>
  <si>
    <t>Avg Daily over past 30 days</t>
  </si>
  <si>
    <t>Sub 1</t>
  </si>
  <si>
    <t>Sub 2</t>
  </si>
  <si>
    <t>Sub 3</t>
  </si>
  <si>
    <t>Sub 4</t>
  </si>
  <si>
    <t>Sub 5</t>
  </si>
  <si>
    <t>SCHEDULE ITEM</t>
  </si>
  <si>
    <t>STATUS SUMMARY</t>
  </si>
  <si>
    <t>CRITICAL DELAYS / VARIANCES</t>
  </si>
  <si>
    <t>RECOVERY PLAN</t>
  </si>
  <si>
    <t>FORECAST IMPACT</t>
  </si>
  <si>
    <t>NOTES / ACTION ITEMS</t>
  </si>
  <si>
    <t>PRIORITY ITEM 1</t>
  </si>
  <si>
    <t>🔴 At Risk</t>
  </si>
  <si>
    <t>[List specific issues: e.g., delayed delivery, inspections, manpower shortage]</t>
  </si>
  <si>
    <t>[Explain steps being taken: e.g., OT, resequencing, adding crews]</t>
  </si>
  <si>
    <t>[Impact to key milestones or turnover]</t>
  </si>
  <si>
    <t>[Escalations, decisions needed, risks to monitor]</t>
  </si>
  <si>
    <t>PRIORITY ITEM 2</t>
  </si>
  <si>
    <t>PRIORITY ITEM 3</t>
  </si>
  <si>
    <t>🟡 Behind</t>
  </si>
  <si>
    <t>Delayed delivery</t>
  </si>
  <si>
    <t>PRIORITY ITEM 4</t>
  </si>
  <si>
    <t>mapower</t>
  </si>
  <si>
    <t>PRIORITY ITEM 5</t>
  </si>
  <si>
    <t>🟢 On Track</t>
  </si>
  <si>
    <t>manpower</t>
  </si>
  <si>
    <t>Status Summary should be brief but clear (e.g., "Behind due to facade delay", "On track post weather recovery").
Recovery Plan is critical if you’re off track—list actionable steps, not just “monitoring.”
Forecast Impact should tie directly to milestone changes or risk to turnover date.</t>
  </si>
  <si>
    <t>RISK #</t>
  </si>
  <si>
    <t>RISK DESCRIPTION</t>
  </si>
  <si>
    <t>IMPACT</t>
  </si>
  <si>
    <t>MITIGATION STRATEGY</t>
  </si>
  <si>
    <t>OWNER</t>
  </si>
  <si>
    <t>STATUS</t>
  </si>
  <si>
    <t>RISK 1</t>
  </si>
  <si>
    <t xml:space="preserve">Change Orders Outstanding Change Orders Outstanding Change Orders Outstanding </t>
  </si>
  <si>
    <t>🟡 Medium</t>
  </si>
  <si>
    <t xml:space="preserve"> Change Orders Outstanding Change Orders Outstanding Change Orders Outstanding Change Orders Outstanding Change Orders </t>
  </si>
  <si>
    <t>Dir. of Construction</t>
  </si>
  <si>
    <t>🟢 Complete</t>
  </si>
  <si>
    <t>RISK 2</t>
  </si>
  <si>
    <t>Access Agreements with Neighbors</t>
  </si>
  <si>
    <t>🟡 Planned</t>
  </si>
  <si>
    <t>RISK 3</t>
  </si>
  <si>
    <t>Trades to award:</t>
  </si>
  <si>
    <t>🟡 In Progress</t>
  </si>
  <si>
    <t>RISK 4</t>
  </si>
  <si>
    <t>Kitchen Cabinet Design</t>
  </si>
  <si>
    <t>RISK 5</t>
  </si>
  <si>
    <t>🔴 Not Started</t>
  </si>
  <si>
    <t>RISK 6</t>
  </si>
  <si>
    <t>🔴 High</t>
  </si>
  <si>
    <t>RISK 7</t>
  </si>
  <si>
    <t>⚪ Low</t>
  </si>
  <si>
    <t>RISK 8</t>
  </si>
  <si>
    <t>MONTH #</t>
  </si>
  <si>
    <t>MONTH</t>
  </si>
  <si>
    <t>HOURS WORKED THIS PERIOD</t>
  </si>
  <si>
    <t>RECORDABLE INCIDENTS THIS PERIOD</t>
  </si>
  <si>
    <t>ORIENTATIONS THIS PERIOD</t>
  </si>
  <si>
    <t>VLN #</t>
  </si>
  <si>
    <t>VLN Description</t>
  </si>
  <si>
    <t>VLN Value</t>
  </si>
  <si>
    <t>VLN Value / Status</t>
  </si>
  <si>
    <t>Month 1</t>
  </si>
  <si>
    <t>Open</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</si>
  <si>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</si>
  <si>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</si>
  <si>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</si>
  <si>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</si>
  <si>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</si>
  <si>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</si>
  <si>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</si>
  <si>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</si>
  <si>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</si>
  <si>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</si>
  <si>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</si>
  <si>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</si>
  <si>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</si>
  <si>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</si>
  <si>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</si>
  <si>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</si>
  <si>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</si>
  <si>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</si>
  <si>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</si>
  <si>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</si>
  <si>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</si>
  <si>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</si>
  <si>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</si>
  <si>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</si>
  <si>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Total</t>
  </si>
  <si>
    <t>Month 26</t>
  </si>
  <si>
    <t>Month 27</t>
  </si>
  <si>
    <t>Month 28</t>
  </si>
  <si>
    <t>Month 29</t>
  </si>
  <si>
    <t>Month 30</t>
  </si>
  <si>
    <t>TOTAL</t>
  </si>
  <si>
    <t>TIMEFRAME</t>
  </si>
  <si>
    <t>CATEGORY</t>
  </si>
  <si>
    <t>DESCRIPTION/ACTIVITY</t>
  </si>
  <si>
    <t>NOTES/OUTCOME/ACTION</t>
  </si>
  <si>
    <t>RESPONSIBLE</t>
  </si>
  <si>
    <t>Lookback</t>
  </si>
  <si>
    <t>Toolbox Talk – Scheduled</t>
  </si>
  <si>
    <t>Scaffold Overbuild</t>
  </si>
  <si>
    <t>🟢 Completed</t>
  </si>
  <si>
    <t>Signed off, executed per plan</t>
  </si>
  <si>
    <t>Asst. Super</t>
  </si>
  <si>
    <t>Notable Visitor – FDNY</t>
  </si>
  <si>
    <t>Fall Protection</t>
  </si>
  <si>
    <t>🟡 Scheduled</t>
  </si>
  <si>
    <t>28 attendees, good feedback from field</t>
  </si>
  <si>
    <t>Heat Stress Awareness</t>
  </si>
  <si>
    <t>Held after near miss, all trades participated</t>
  </si>
  <si>
    <t>OSHA Informal Walkthrough</t>
  </si>
  <si>
    <t>No citations, documented for record</t>
  </si>
  <si>
    <t>Concrete Pour – Foundation</t>
  </si>
  <si>
    <t>AHV secured, no issues during extended shift</t>
  </si>
  <si>
    <t>OBSERVATIONS THIS PERIOD</t>
  </si>
  <si>
    <t>PUNCHLIST ITEM THIS PERIOD</t>
  </si>
  <si>
    <t>Month 31</t>
  </si>
  <si>
    <t>Column1</t>
  </si>
  <si>
    <t>RANGE BY ASCENDING OFFENCES</t>
  </si>
  <si>
    <t>MAIN OFFENDER 1 (SUB NAME)</t>
  </si>
  <si>
    <t>STNY</t>
  </si>
  <si>
    <t>MAIN OFFENDER 2</t>
  </si>
  <si>
    <t>ABM</t>
  </si>
  <si>
    <t>MAIN OFFENDER 3</t>
  </si>
  <si>
    <t>TRYSLER</t>
  </si>
  <si>
    <t>MAIN OFFENDER 4</t>
  </si>
  <si>
    <t>MAIN OFFENDER 5</t>
  </si>
  <si>
    <t>DESCRIPTION</t>
  </si>
  <si>
    <t>TRADE</t>
  </si>
  <si>
    <t>OUTCOME / COMMENTS</t>
  </si>
  <si>
    <t>ACTION PLAN</t>
  </si>
  <si>
    <t>Quality – High-Risk Observation</t>
  </si>
  <si>
    <t>Uneven tile in Unit 405</t>
  </si>
  <si>
    <t>TileCo</t>
  </si>
  <si>
    <t>🔴  Open</t>
  </si>
  <si>
    <t>Pending rework</t>
  </si>
  <si>
    <t>Schedule crew for rework</t>
  </si>
  <si>
    <t>Benchmark – Completed</t>
  </si>
  <si>
    <t>Tile Mockup</t>
  </si>
  <si>
    <t>🟢  Passed</t>
  </si>
  <si>
    <t>Signed off by owner</t>
  </si>
  <si>
    <t>None</t>
  </si>
  <si>
    <t>Lookahead</t>
  </si>
  <si>
    <t>Benchmark – Scheduled</t>
  </si>
  <si>
    <t>Millwork Mockup</t>
  </si>
  <si>
    <t>LMN Millwork</t>
  </si>
  <si>
    <t>🟡  Scheduled</t>
  </si>
  <si>
    <t>Pending consultant date</t>
  </si>
  <si>
    <t>Confirm samples / setup review</t>
  </si>
  <si>
    <t>Delivery – Rejected</t>
  </si>
  <si>
    <t>HVAC Unit delivery damaged</t>
  </si>
  <si>
    <t>MechSupplyCo</t>
  </si>
  <si>
    <t>🔴  Rejected</t>
  </si>
  <si>
    <t>Unit returned to vendor</t>
  </si>
  <si>
    <t>Replacement arriving 6/25</t>
  </si>
  <si>
    <t>Commissioning – Upcoming</t>
  </si>
  <si>
    <t>ERV Air Balancing</t>
  </si>
  <si>
    <t>DEF Mech</t>
  </si>
  <si>
    <t>Coordination with MEP team</t>
  </si>
  <si>
    <t>Confirm balancing crew</t>
  </si>
  <si>
    <t>Inspection – Special</t>
  </si>
  <si>
    <t>Concrete Cylinder Break Test</t>
  </si>
  <si>
    <t>Atlas Eng</t>
  </si>
  <si>
    <t>Compressive strength verified</t>
  </si>
  <si>
    <t>Inspection – NCR</t>
  </si>
  <si>
    <t>Failed weld at base plate</t>
  </si>
  <si>
    <t>SteelCo</t>
  </si>
  <si>
    <t>🔴  NCR</t>
  </si>
  <si>
    <t>Reweld scheduled 6/27</t>
  </si>
  <si>
    <t>Reinspection on 6/28</t>
  </si>
  <si>
    <t>Reweld scheduled 6/28</t>
  </si>
  <si>
    <t>Reinspection on 6/29</t>
  </si>
  <si>
    <t>Reweld scheduled 6/29</t>
  </si>
  <si>
    <t>Reinspection on 6/30</t>
  </si>
  <si>
    <t>Reweld scheduled 6/30</t>
  </si>
  <si>
    <t>Reinspection on 6/31</t>
  </si>
  <si>
    <t>Trade</t>
  </si>
  <si>
    <t>Open Critical RFIs</t>
  </si>
  <si>
    <t>Open Critical Submittals</t>
  </si>
  <si>
    <t>Electrical</t>
  </si>
  <si>
    <t>HVAC</t>
  </si>
  <si>
    <t>Windows</t>
  </si>
  <si>
    <t xml:space="preserve">Metals  </t>
  </si>
  <si>
    <t>Foundation</t>
  </si>
  <si>
    <t xml:space="preserve">Existing Conditions  </t>
  </si>
  <si>
    <t xml:space="preserve">Conveying Equipment  </t>
  </si>
  <si>
    <t>Exterior Improvements</t>
  </si>
  <si>
    <t>THIS PERIOD</t>
  </si>
  <si>
    <t>LAST PERIOD</t>
  </si>
  <si>
    <t>&amp; DIF</t>
  </si>
  <si>
    <t>Age of oldest unapproved CO</t>
  </si>
  <si>
    <t>Profitability</t>
  </si>
  <si>
    <t>Margin fade but no plan</t>
  </si>
  <si>
    <t>Within Range</t>
  </si>
  <si>
    <t>Based on the original financial projection</t>
  </si>
  <si>
    <t>Cash Position</t>
  </si>
  <si>
    <t>&lt; 50% = 🔴 Bad Cash Position</t>
  </si>
  <si>
    <t>≥ 100% = 🟢 Good Cash Position; 50% – 99% = 🟡 Medium / Watch Zone; &lt; 50% = 🔴 Bad Cash Position;
Metric
Cash Collected = $2,000,000
AR Outstanding = $400,000
Remaining Forecasted Cost = $1,500,000
Cash Position % = ($2,000,000 + $400,000) ÷ $1,500,000 × 100 = 160%</t>
  </si>
  <si>
    <t>Remaining in Contingency</t>
  </si>
  <si>
    <t>N/A</t>
  </si>
  <si>
    <t>Bill This Pay Period</t>
  </si>
  <si>
    <t>BUDGET</t>
  </si>
  <si>
    <t>FORECAST</t>
  </si>
  <si>
    <t>SPENT TO DATE2</t>
  </si>
  <si>
    <t>Variance (Budget - Actual)</t>
  </si>
  <si>
    <t>RAG Status</t>
  </si>
  <si>
    <t>Meaning</t>
  </si>
  <si>
    <t>General Requirements</t>
  </si>
  <si>
    <t>🔴 Over Budget</t>
  </si>
  <si>
    <t>≥ 0%</t>
  </si>
  <si>
    <t>🟢 On Track / Positive</t>
  </si>
  <si>
    <t>Under or exactly on budget (great)</t>
  </si>
  <si>
    <t>General Conditions</t>
  </si>
  <si>
    <t>-0.01% to -5%</t>
  </si>
  <si>
    <t>🟡 Watch</t>
  </si>
  <si>
    <t>Slight overrun, monitor</t>
  </si>
  <si>
    <t>&gt; -5%</t>
  </si>
  <si>
    <t>Significant overrun, needs correction</t>
  </si>
  <si>
    <t>INVOICE SENT</t>
  </si>
  <si>
    <t>INVOICE PAID</t>
  </si>
  <si>
    <t>DELTA</t>
  </si>
  <si>
    <t>OT HOURS WORKED THIS PERIOD</t>
  </si>
  <si>
    <t>CURRENTAGING BALANCE</t>
  </si>
  <si>
    <t>PROJECT BUYOUT</t>
  </si>
  <si>
    <t>Total Trade Costs Budgeted</t>
  </si>
  <si>
    <t>Total Trade Costs Committed (Use budget dollar value)</t>
  </si>
  <si>
    <t>% Bought out</t>
  </si>
  <si>
    <t>COST MANAGEMENT</t>
  </si>
  <si>
    <t>🟢 Y</t>
  </si>
  <si>
    <t>MONITORED RESOURCES UPDATED BASED ON ACTUALS</t>
  </si>
  <si>
    <t>PROJECT SCORE</t>
  </si>
  <si>
    <t>SCORE</t>
  </si>
  <si>
    <t>METRICS</t>
  </si>
  <si>
    <t>WEIGHTING</t>
  </si>
  <si>
    <t>OVERALL SCORE</t>
  </si>
  <si>
    <t>Accounts Receivable</t>
  </si>
  <si>
    <t>&lt; 45</t>
  </si>
  <si>
    <t>46-60</t>
  </si>
  <si>
    <t>61-75</t>
  </si>
  <si>
    <t>Out of Range, but has a plan</t>
  </si>
  <si>
    <t>≥ 100%</t>
  </si>
  <si>
    <t>50% – 99%</t>
  </si>
  <si>
    <t>&lt; 50%</t>
  </si>
  <si>
    <t>Change Orders (Avg Days Open)</t>
  </si>
  <si>
    <t>Safety incidents</t>
  </si>
  <si>
    <t>No Incidents</t>
  </si>
  <si>
    <t>&lt; 1 Incidents</t>
  </si>
  <si>
    <t>2+ Incidents</t>
  </si>
  <si>
    <t>Schedule Performance (Critcal Missed Starts)</t>
  </si>
  <si>
    <t>&lt;5%</t>
  </si>
  <si>
    <t>6-9%</t>
  </si>
  <si>
    <t>10%+</t>
  </si>
  <si>
    <t>Completion Variance</t>
  </si>
  <si>
    <t>0 or - Days</t>
  </si>
  <si>
    <t>1-14 Days</t>
  </si>
  <si>
    <t>15+ Days</t>
  </si>
  <si>
    <t>Observations (Avg Days Open)</t>
  </si>
  <si>
    <t>&lt;5 Days</t>
  </si>
  <si>
    <t>6-10 Days</t>
  </si>
  <si>
    <t>11+</t>
  </si>
  <si>
    <t>Daily Reports (# of reports not complete and distributed on Same Day)</t>
  </si>
  <si>
    <t>&lt;2</t>
  </si>
  <si>
    <t>3-4</t>
  </si>
  <si>
    <t>MANUAL INPUT</t>
  </si>
  <si>
    <t>5+</t>
  </si>
  <si>
    <t>CLIENT SATISFACTION</t>
  </si>
  <si>
    <t>WHO WAS SURVEYED:</t>
  </si>
  <si>
    <t>ANONYMOUS</t>
  </si>
  <si>
    <t>QUESTIONS</t>
  </si>
  <si>
    <t>SCORE (1 to 5)</t>
  </si>
  <si>
    <t>Q1</t>
  </si>
  <si>
    <t>Q2</t>
  </si>
  <si>
    <t>Q3</t>
  </si>
  <si>
    <t>Q4</t>
  </si>
  <si>
    <t>Q5</t>
  </si>
  <si>
    <t>Q6</t>
  </si>
  <si>
    <t>RISKS TAB</t>
  </si>
  <si>
    <t>SUBMITTALS &amp; RFIS</t>
  </si>
  <si>
    <t>IMPACTS</t>
  </si>
  <si>
    <t>APPROVED</t>
  </si>
  <si>
    <t>REVISION</t>
  </si>
  <si>
    <t>TRADES</t>
  </si>
  <si>
    <t>PROFITABILITY</t>
  </si>
  <si>
    <t>Scheduler</t>
  </si>
  <si>
    <t>High-Risk Item – Completed</t>
  </si>
  <si>
    <t>≥ 100% = 🟢 Good Cash Position</t>
  </si>
  <si>
    <t>Rev#2</t>
  </si>
  <si>
    <t>High-Risk Item – Upcoming</t>
  </si>
  <si>
    <t>🟢 Positive</t>
  </si>
  <si>
    <t xml:space="preserve">Concrete  </t>
  </si>
  <si>
    <t>50% – 99% = 🟡 Medium / Watch Zone</t>
  </si>
  <si>
    <t>Rev#3</t>
  </si>
  <si>
    <t>Toolbox Talk – Completed</t>
  </si>
  <si>
    <t>Asst. PM</t>
  </si>
  <si>
    <t>Rev#4</t>
  </si>
  <si>
    <t>Mockup – Completed</t>
  </si>
  <si>
    <t>Superstructure</t>
  </si>
  <si>
    <t>Super</t>
  </si>
  <si>
    <t>Rev#5</t>
  </si>
  <si>
    <t>Safety Standdown – Completed</t>
  </si>
  <si>
    <t>🔴 High Risk</t>
  </si>
  <si>
    <t>Mockup – Scheduled</t>
  </si>
  <si>
    <t xml:space="preserve">Masonry  </t>
  </si>
  <si>
    <t>Senior PM</t>
  </si>
  <si>
    <t>Rev#6</t>
  </si>
  <si>
    <t>Safety Standdown – Scheduled</t>
  </si>
  <si>
    <t>🔴 Delayed</t>
  </si>
  <si>
    <t>PX</t>
  </si>
  <si>
    <t>Rev#7</t>
  </si>
  <si>
    <t>Weekend/OT Work – Completed</t>
  </si>
  <si>
    <t>Delivery – Upcoming</t>
  </si>
  <si>
    <t>Drywall &amp; Carpentry</t>
  </si>
  <si>
    <t>Rev#8</t>
  </si>
  <si>
    <t>Weekend/OT Work – Planned</t>
  </si>
  <si>
    <t>Commissioning – Completed</t>
  </si>
  <si>
    <t>Roofing</t>
  </si>
  <si>
    <t>Principal</t>
  </si>
  <si>
    <t>Rev#9</t>
  </si>
  <si>
    <t>Notable Visitor – DOB</t>
  </si>
  <si>
    <t>Millwork</t>
  </si>
  <si>
    <t>Rev#10</t>
  </si>
  <si>
    <t xml:space="preserve">Finishes  </t>
  </si>
  <si>
    <t>Rev#11</t>
  </si>
  <si>
    <t>Notable Visitor – Client</t>
  </si>
  <si>
    <t xml:space="preserve">Specialties  </t>
  </si>
  <si>
    <t>Notable Visitor – OSHA</t>
  </si>
  <si>
    <t xml:space="preserve">Equipment  </t>
  </si>
  <si>
    <t>Notable Visitor – Other</t>
  </si>
  <si>
    <t>Doors &amp; Frames</t>
  </si>
  <si>
    <t>Safety Win – Team Performance</t>
  </si>
  <si>
    <t>Glass &amp; Glazing</t>
  </si>
  <si>
    <t>Safety Win – Milestone with No Incidents</t>
  </si>
  <si>
    <t>Safety Win – Inspection Success</t>
  </si>
  <si>
    <t>Sprinkler</t>
  </si>
  <si>
    <t xml:space="preserve">Plumbing  </t>
  </si>
  <si>
    <t xml:space="preserve">Building Automation Systems  </t>
  </si>
  <si>
    <t xml:space="preserve">Electrical  </t>
  </si>
  <si>
    <t>Low Voltage</t>
  </si>
  <si>
    <t xml:space="preserve">Utilities  </t>
  </si>
  <si>
    <t xml:space="preserve">Painting </t>
  </si>
  <si>
    <t>Flooring</t>
  </si>
  <si>
    <t>Self Levelling</t>
  </si>
  <si>
    <t>Lighting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</si>
</sst>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7" formatCode="&quot;$&quot;#,##0.00_);\(&quot;$&quot;#,##0.00\)"/>
    <numFmt numFmtId="8" formatCode="&quot;$&quot;#,##0.00_);[Red]\(&quot;$&quot;#,##0.00\)"/>
    <numFmt numFmtId="44" formatCode="_(&quot;$&quot;* #,##0.00_);_(&quot;$&quot;* \(#,##0.00\);_(&quot;$&quot;* &quot;-&quot;??_);_(@_)"/>
    <numFmt numFmtId="43" formatCode="_(* #,##0.00_);_(* \(#,##0.00\);_(* &quot;-&quot;??_);_(@_)"/>
    <numFmt numFmtId="164" formatCode="#\ &quot;days&quot;"/>
    <numFmt numFmtId="165" formatCode="[$-409]mmm\-yy;@"/>
    <numFmt numFmtId="166" formatCode="0.0%"/>
    <numFmt numFmtId="167" formatCode="#.0\ &quot;days&quot;"/>
    <numFmt numFmtId="168" formatCode="#.00\ &quot;days&quot;"/>
    <numFmt numFmtId="169" formatCode="&quot;$&quot;#,##0.0_);[Red]\(&quot;$&quot;#,##0.0\)"/>
    <numFmt numFmtId="170" formatCode="&quot;$&quot;#,##0.0"/>
    <numFmt numFmtId="171" formatCode="&quot;SCORE = &quot;0.0%"/>
    <numFmt numFmtId="172" formatCode="&quot;CLIENT SATISFACTION = &quot;"/>
  </numFmts>
  <fonts count="67">
    <font>
      <sz val="12"/>
      <color theme="1"/>
      <name val="Aptos Narrow"/>
      <family val="2"/>
      <scheme val="minor"/>
    </font>
    <font>
      <sz val="12"/>
      <color theme="1"/>
      <name val="Aptos Narrow"/>
      <family val="2"/>
      <scheme val="minor"/>
    </font>
    <font>
      <sz val="12"/>
      <color theme="1"/>
      <name val="Roboto"/>
    </font>
    <font>
      <sz val="12"/>
      <color theme="0"/>
      <name val="Roboto"/>
    </font>
    <font>
      <b/>
      <sz val="32"/>
      <color theme="1"/>
      <name val="Roboto"/>
    </font>
    <font>
      <sz val="14"/>
      <color theme="0"/>
      <name val="Roboto"/>
    </font>
    <font>
      <b/>
      <sz val="12"/>
      <color theme="0"/>
      <name val="Roboto"/>
    </font>
    <font>
      <sz val="12"/>
      <color rgb="FFE48200"/>
      <name val="Roboto"/>
    </font>
    <font>
      <sz val="11"/>
      <color rgb="FFE48200"/>
      <name val="Roboto"/>
    </font>
    <font>
      <sz val="10"/>
      <color theme="1"/>
      <name val="Roboto"/>
    </font>
    <font>
      <b/>
      <sz val="11"/>
      <color theme="1"/>
      <name val="Roboto"/>
    </font>
    <font>
      <sz val="18"/>
      <color rgb="FFDC2917"/>
      <name val="Roboto"/>
    </font>
    <font>
      <sz val="12"/>
      <color rgb="FFA628B1"/>
      <name val="Roboto"/>
    </font>
    <font>
      <b/>
      <sz val="18"/>
      <color rgb="FFA628B1"/>
      <name val="Roboto"/>
    </font>
    <font>
      <b/>
      <sz val="16"/>
      <color rgb="FF2334D3"/>
      <name val="Roboto"/>
    </font>
    <font>
      <sz val="12"/>
      <color rgb="FFDC2916"/>
      <name val="Roboto"/>
    </font>
    <font>
      <b/>
      <sz val="18"/>
      <color rgb="FFDC2916"/>
      <name val="Roboto"/>
    </font>
    <font>
      <b/>
      <sz val="18"/>
      <color rgb="FF2334D3"/>
      <name val="Roboto"/>
    </font>
    <font>
      <b/>
      <sz val="12"/>
      <color theme="1"/>
      <name val="Aptos Narrow"/>
      <family val="2"/>
      <scheme val="minor"/>
    </font>
    <font>
      <b/>
      <sz val="12"/>
      <color theme="0"/>
      <name val="Aptos Narrow"/>
      <family val="2"/>
      <scheme val="minor"/>
    </font>
    <font>
      <sz val="8"/>
      <name val="Aptos Narrow"/>
      <family val="2"/>
      <scheme val="minor"/>
    </font>
    <font>
      <sz val="11"/>
      <color theme="1"/>
      <name val="Roboto"/>
    </font>
    <font>
      <sz val="10"/>
      <color rgb="FF2334D3"/>
      <name val="Roboto"/>
    </font>
    <font>
      <b/>
      <u/>
      <sz val="12"/>
      <color theme="1"/>
      <name val="Aptos Narrow"/>
      <family val="2"/>
      <scheme val="minor"/>
    </font>
    <font>
      <sz val="12"/>
      <color rgb="FFFF0000"/>
      <name val="Aptos Narrow"/>
      <family val="2"/>
      <scheme val="minor"/>
    </font>
    <font>
      <b/>
      <sz val="14"/>
      <color theme="1"/>
      <name val="Aptos Narrow"/>
      <family val="2"/>
      <scheme val="minor"/>
    </font>
    <font>
      <b/>
      <sz val="10"/>
      <color rgb="FF2334D3"/>
      <name val="Roboto"/>
    </font>
    <font>
      <b/>
      <sz val="12"/>
      <color rgb="FF2334D3"/>
      <name val="Roboto"/>
    </font>
    <font>
      <sz val="12"/>
      <color theme="0"/>
      <name val="Aptos Narrow"/>
      <family val="2"/>
      <scheme val="minor"/>
    </font>
    <font>
      <b/>
      <sz val="12"/>
      <color theme="1"/>
      <name val="Roboto"/>
    </font>
    <font>
      <sz val="11"/>
      <color rgb="FFDC2916"/>
      <name val="Roboto"/>
    </font>
    <font>
      <b/>
      <sz val="14"/>
      <color rgb="FFDC2916"/>
      <name val="Roboto"/>
    </font>
    <font>
      <b/>
      <sz val="10"/>
      <color theme="1"/>
      <name val="Roboto"/>
    </font>
    <font>
      <b/>
      <sz val="9"/>
      <color rgb="FFDC2916"/>
      <name val="Roboto"/>
    </font>
    <font>
      <sz val="12"/>
      <color rgb="FFA71E22"/>
      <name val="Roboto"/>
    </font>
    <font>
      <b/>
      <sz val="12"/>
      <color theme="1"/>
      <name val="Aptos Narrow"/>
      <scheme val="minor"/>
    </font>
    <font>
      <b/>
      <sz val="14"/>
      <color theme="0"/>
      <name val="Aptos Narrow"/>
      <scheme val="minor"/>
    </font>
    <font>
      <b/>
      <sz val="14"/>
      <color rgb="FFA71E22"/>
      <name val="Roboto"/>
    </font>
    <font>
      <sz val="12"/>
      <color rgb="FF2334D4"/>
      <name val="Aptos Narrow"/>
      <family val="2"/>
      <scheme val="minor"/>
    </font>
    <font>
      <b/>
      <sz val="10"/>
      <color rgb="FF2334D4"/>
      <name val="Aptos Narrow"/>
      <scheme val="minor"/>
    </font>
    <font>
      <b/>
      <sz val="12"/>
      <color rgb="FFDD2917"/>
      <name val="Roboto"/>
    </font>
    <font>
      <sz val="12"/>
      <color rgb="FFDD2917"/>
      <name val="Roboto"/>
    </font>
    <font>
      <sz val="12"/>
      <color rgb="FF2334D4"/>
      <name val="Aptos Narrow"/>
      <scheme val="minor"/>
    </font>
    <font>
      <b/>
      <sz val="12"/>
      <color rgb="FF2334D4"/>
      <name val="Aptos Narrow"/>
      <family val="2"/>
      <scheme val="minor"/>
    </font>
    <font>
      <sz val="12"/>
      <color rgb="FF2334D3"/>
      <name val="Roboto"/>
    </font>
    <font>
      <b/>
      <sz val="14"/>
      <color rgb="FF2334D3"/>
      <name val="Roboto"/>
    </font>
    <font>
      <b/>
      <sz val="16"/>
      <color rgb="FFE48200"/>
      <name val="Roboto"/>
    </font>
    <font>
      <sz val="12"/>
      <color rgb="FFDB1918"/>
      <name val="Aptos Narrow"/>
      <family val="2"/>
      <scheme val="minor"/>
    </font>
    <font>
      <sz val="12"/>
      <color rgb="FF01AF00"/>
      <name val="Aptos Narrow"/>
      <family val="2"/>
      <scheme val="minor"/>
    </font>
    <font>
      <sz val="12"/>
      <color rgb="FFFFD800"/>
      <name val="Aptos Narrow"/>
      <family val="2"/>
      <scheme val="minor"/>
    </font>
    <font>
      <sz val="14"/>
      <color rgb="FF2334D4"/>
      <name val="Aptos Narrow"/>
      <family val="2"/>
      <scheme val="minor"/>
    </font>
    <font>
      <sz val="14"/>
      <color theme="1"/>
      <name val="Aptos Narrow"/>
      <family val="2"/>
      <scheme val="minor"/>
    </font>
    <font>
      <b/>
      <sz val="12"/>
      <color theme="0"/>
      <name val="Aptos Narrow"/>
      <scheme val="minor"/>
    </font>
    <font>
      <b/>
      <sz val="12"/>
      <color rgb="FFA628B1"/>
      <name val="Roboto"/>
    </font>
    <font>
      <sz val="7"/>
      <color rgb="FFA628B1"/>
      <name val="Roboto"/>
    </font>
    <font>
      <sz val="7"/>
      <color theme="1"/>
      <name val="Roboto"/>
    </font>
    <font>
      <b/>
      <sz val="14"/>
      <color theme="0"/>
      <name val="Roboto"/>
    </font>
    <font>
      <b/>
      <sz val="12"/>
      <color rgb="FFE58200"/>
      <name val="Roboto"/>
    </font>
    <font>
      <sz val="12"/>
      <color rgb="FF2334D4"/>
      <name val="Roboto"/>
    </font>
    <font>
      <b/>
      <sz val="12"/>
      <color rgb="FFDC2916"/>
      <name val="Roboto"/>
    </font>
    <font>
      <b/>
      <sz val="14"/>
      <color theme="1"/>
      <name val="Aptos Narrow"/>
      <scheme val="minor"/>
    </font>
    <font>
      <b/>
      <sz val="12"/>
      <color rgb="FF2334D4"/>
      <name val="Roboto"/>
    </font>
    <font>
      <b/>
      <sz val="24"/>
      <color theme="1"/>
      <name val="Roboto"/>
    </font>
    <font>
      <sz val="9"/>
      <color theme="1"/>
      <name val="Aptos Narrow"/>
      <family val="2"/>
      <scheme val="minor"/>
    </font>
    <font>
      <b/>
      <sz val="11"/>
      <color theme="1"/>
      <name val="Aptos Narrow"/>
      <scheme val="minor"/>
    </font>
    <font>
      <b/>
      <sz val="10"/>
      <color theme="1"/>
      <name val="Aptos Narrow"/>
      <scheme val="minor"/>
    </font>
    <font>
      <sz val="10"/>
      <color theme="1"/>
      <name val="Aptos Narrow"/>
      <scheme val="minor"/>
    </font>
  </fonts>
  <fills count="19">
    <fill>
      <patternFill patternType="none"/>
    </fill>
    <fill>
      <patternFill patternType="gray125"/>
    </fill>
    <fill>
      <patternFill patternType="solid">
        <fgColor rgb="FF00524C"/>
        <bgColor indexed="64"/>
      </patternFill>
    </fill>
    <fill>
      <patternFill patternType="solid">
        <fgColor theme="0"/>
        <bgColor indexed="64"/>
      </patternFill>
    </fill>
    <fill>
      <patternFill patternType="solid">
        <fgColor rgb="FF448E01"/>
        <bgColor indexed="64"/>
      </patternFill>
    </fill>
    <fill>
      <patternFill patternType="solid">
        <fgColor rgb="FFE48200"/>
        <bgColor indexed="64"/>
      </patternFill>
    </fill>
    <fill>
      <patternFill patternType="solid">
        <fgColor rgb="FFDC2917"/>
        <bgColor indexed="64"/>
      </patternFill>
    </fill>
    <fill>
      <patternFill patternType="solid">
        <fgColor rgb="FFA71E23"/>
        <bgColor indexed="64"/>
      </patternFill>
    </fill>
    <fill>
      <patternFill patternType="solid">
        <fgColor rgb="FFA628B1"/>
        <bgColor indexed="64"/>
      </patternFill>
    </fill>
    <fill>
      <patternFill patternType="solid">
        <fgColor rgb="FF2334D3"/>
        <bgColor indexed="64"/>
      </patternFill>
    </fill>
    <fill>
      <patternFill patternType="solid">
        <fgColor theme="0" tint="-0.14999847407452621"/>
        <bgColor theme="0" tint="-0.14999847407452621"/>
      </patternFill>
    </fill>
    <fill>
      <patternFill patternType="solid">
        <fgColor theme="1"/>
        <bgColor indexed="64"/>
      </patternFill>
    </fill>
    <fill>
      <patternFill patternType="solid">
        <fgColor rgb="FF00A79A"/>
        <bgColor indexed="64"/>
      </patternFill>
    </fill>
    <fill>
      <patternFill patternType="solid">
        <fgColor rgb="FFDC2916"/>
        <bgColor indexed="64"/>
      </patternFill>
    </fill>
    <fill>
      <patternFill patternType="solid">
        <fgColor rgb="FF2334D4"/>
        <bgColor indexed="64"/>
      </patternFill>
    </fill>
    <fill>
      <patternFill patternType="solid">
        <fgColor rgb="FF01524B"/>
        <bgColor indexed="64"/>
      </patternFill>
    </fill>
    <fill>
      <patternFill patternType="solid">
        <fgColor rgb="FFE58200"/>
        <bgColor indexed="64"/>
      </patternFill>
    </fill>
    <fill>
      <patternFill patternType="solid">
        <fgColor rgb="FF00524B"/>
        <bgColor indexed="64"/>
      </patternFill>
    </fill>
    <fill>
      <patternFill patternType="solid">
        <fgColor rgb="FFFFC000"/>
        <bgColor indexed="64"/>
      </patternFill>
    </fill>
  </fills>
  <borders count="153">
    <border>
      <left/>
      <right/>
      <top/>
      <bottom/>
      <diagonal/>
    </border>
    <border>
      <left style="thin">
        <color rgb="FFD7D1C2"/>
      </left>
      <right/>
      <top/>
      <bottom/>
      <diagonal/>
    </border>
    <border>
      <left/>
      <right style="thin">
        <color rgb="FFD7D1C2"/>
      </right>
      <top/>
      <bottom/>
      <diagonal/>
    </border>
    <border>
      <left style="thin">
        <color rgb="FFD7D1C2"/>
      </left>
      <right/>
      <top/>
      <bottom style="thin">
        <color rgb="FFD7D1C2"/>
      </bottom>
      <diagonal/>
    </border>
    <border>
      <left/>
      <right/>
      <top/>
      <bottom style="thin">
        <color rgb="FFD7D1C2"/>
      </bottom>
      <diagonal/>
    </border>
    <border>
      <left/>
      <right style="thin">
        <color rgb="FFD7D1C2"/>
      </right>
      <top/>
      <bottom style="thin">
        <color rgb="FFD7D1C2"/>
      </bottom>
      <diagonal/>
    </border>
    <border>
      <left style="thick">
        <color rgb="FF448E01"/>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ck">
        <color rgb="FF448E01"/>
      </left>
      <right/>
      <top/>
      <bottom/>
      <diagonal/>
    </border>
    <border>
      <left/>
      <right style="thin">
        <color theme="2" tint="-9.9948118533890809E-2"/>
      </right>
      <top/>
      <bottom/>
      <diagonal/>
    </border>
    <border>
      <left style="thick">
        <color rgb="FFDC2917"/>
      </left>
      <right/>
      <top style="thin">
        <color theme="2" tint="-9.9948118533890809E-2"/>
      </top>
      <bottom/>
      <diagonal/>
    </border>
    <border>
      <left style="thick">
        <color rgb="FFDC2917"/>
      </left>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bottom style="thin">
        <color theme="1"/>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hair">
        <color rgb="FFA628B1"/>
      </right>
      <top/>
      <bottom/>
      <diagonal/>
    </border>
    <border>
      <left style="hair">
        <color rgb="FFA628B1"/>
      </left>
      <right/>
      <top/>
      <bottom/>
      <diagonal/>
    </border>
    <border>
      <left style="thin">
        <color rgb="FFD7D1C2"/>
      </left>
      <right/>
      <top/>
      <bottom style="thin">
        <color theme="0" tint="-0.14999847407452621"/>
      </bottom>
      <diagonal/>
    </border>
    <border>
      <left/>
      <right style="thin">
        <color rgb="FFD7D1C2"/>
      </right>
      <top/>
      <bottom style="thin">
        <color theme="0" tint="-0.1499984740745262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style="medium">
        <color theme="1"/>
      </right>
      <top/>
      <bottom style="thin">
        <color theme="1"/>
      </bottom>
      <diagonal/>
    </border>
    <border>
      <left/>
      <right style="thin">
        <color rgb="FFDC2916"/>
      </right>
      <top/>
      <bottom/>
      <diagonal/>
    </border>
    <border>
      <left style="thin">
        <color theme="0" tint="-0.249977111117893"/>
      </left>
      <right style="thin">
        <color rgb="FFD7D1C2"/>
      </right>
      <top/>
      <bottom/>
      <diagonal/>
    </border>
    <border>
      <left/>
      <right/>
      <top/>
      <bottom style="thin">
        <color rgb="FFDC2916"/>
      </bottom>
      <diagonal/>
    </border>
    <border>
      <left/>
      <right/>
      <top style="thin">
        <color rgb="FFDC2916"/>
      </top>
      <bottom/>
      <diagonal/>
    </border>
    <border>
      <left style="thin">
        <color rgb="FFDC2916"/>
      </left>
      <right/>
      <top/>
      <bottom/>
      <diagonal/>
    </border>
    <border>
      <left style="thin">
        <color theme="0" tint="-0.14999847407452621"/>
      </left>
      <right/>
      <top/>
      <bottom style="thin">
        <color theme="0" tint="-0.14999847407452621"/>
      </bottom>
      <diagonal/>
    </border>
    <border>
      <left style="thick">
        <color rgb="FFDC2917"/>
      </left>
      <right/>
      <top/>
      <bottom style="thin">
        <color theme="0" tint="-0.14999847407452621"/>
      </bottom>
      <diagonal/>
    </border>
    <border>
      <left/>
      <right style="thin">
        <color theme="0" tint="-0.14999847407452621"/>
      </right>
      <top style="thin">
        <color theme="2" tint="-9.9948118533890809E-2"/>
      </top>
      <bottom/>
      <diagonal/>
    </border>
    <border>
      <left style="thin">
        <color rgb="FFA71E22"/>
      </left>
      <right style="thin">
        <color rgb="FFA71E22"/>
      </right>
      <top style="thin">
        <color rgb="FFA71E22"/>
      </top>
      <bottom style="thin">
        <color rgb="FFA71E22"/>
      </bottom>
      <diagonal/>
    </border>
    <border>
      <left style="thin">
        <color rgb="FFA71E22"/>
      </left>
      <right/>
      <top style="thin">
        <color rgb="FFA71E22"/>
      </top>
      <bottom style="thin">
        <color rgb="FFA71E22"/>
      </bottom>
      <diagonal/>
    </border>
    <border>
      <left/>
      <right style="thin">
        <color rgb="FFA71E22"/>
      </right>
      <top style="thin">
        <color rgb="FFA71E22"/>
      </top>
      <bottom style="thin">
        <color rgb="FFA71E22"/>
      </bottom>
      <diagonal/>
    </border>
    <border>
      <left/>
      <right style="medium">
        <color theme="1"/>
      </right>
      <top/>
      <bottom/>
      <diagonal/>
    </border>
    <border>
      <left style="thin">
        <color rgb="FFDD2917"/>
      </left>
      <right/>
      <top style="thin">
        <color rgb="FFDD2917"/>
      </top>
      <bottom/>
      <diagonal/>
    </border>
    <border>
      <left/>
      <right/>
      <top style="thin">
        <color rgb="FFDD2917"/>
      </top>
      <bottom/>
      <diagonal/>
    </border>
    <border>
      <left/>
      <right style="thin">
        <color rgb="FFDD2917"/>
      </right>
      <top style="thin">
        <color rgb="FFDD2917"/>
      </top>
      <bottom/>
      <diagonal/>
    </border>
    <border>
      <left style="thin">
        <color rgb="FFDD2917"/>
      </left>
      <right/>
      <top/>
      <bottom style="thin">
        <color rgb="FFDD2917"/>
      </bottom>
      <diagonal/>
    </border>
    <border>
      <left/>
      <right/>
      <top/>
      <bottom style="thin">
        <color rgb="FFDD2917"/>
      </bottom>
      <diagonal/>
    </border>
    <border>
      <left/>
      <right style="thin">
        <color rgb="FFDD2917"/>
      </right>
      <top/>
      <bottom style="thin">
        <color rgb="FFDD2917"/>
      </bottom>
      <diagonal/>
    </border>
    <border>
      <left style="thin">
        <color rgb="FFDD2917"/>
      </left>
      <right style="thin">
        <color rgb="FFDD2917"/>
      </right>
      <top style="thin">
        <color rgb="FFDD2917"/>
      </top>
      <bottom/>
      <diagonal/>
    </border>
    <border>
      <left style="thin">
        <color rgb="FFDD2917"/>
      </left>
      <right style="thin">
        <color rgb="FFDD2917"/>
      </right>
      <top/>
      <bottom style="thin">
        <color rgb="FFDD2917"/>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A71E22"/>
      </left>
      <right/>
      <top style="thin">
        <color rgb="FFA71E22"/>
      </top>
      <bottom/>
      <diagonal/>
    </border>
    <border>
      <left/>
      <right/>
      <top style="thin">
        <color rgb="FFA71E22"/>
      </top>
      <bottom/>
      <diagonal/>
    </border>
    <border>
      <left/>
      <right style="thin">
        <color rgb="FFA71E22"/>
      </right>
      <top style="thin">
        <color rgb="FFA71E22"/>
      </top>
      <bottom/>
      <diagonal/>
    </border>
    <border>
      <left style="thin">
        <color rgb="FFA71E22"/>
      </left>
      <right/>
      <top/>
      <bottom style="thin">
        <color rgb="FFA71E22"/>
      </bottom>
      <diagonal/>
    </border>
    <border>
      <left/>
      <right/>
      <top/>
      <bottom style="thin">
        <color rgb="FFA71E22"/>
      </bottom>
      <diagonal/>
    </border>
    <border>
      <left/>
      <right style="thin">
        <color rgb="FFA71E22"/>
      </right>
      <top/>
      <bottom style="thin">
        <color rgb="FFA71E22"/>
      </bottom>
      <diagonal/>
    </border>
    <border>
      <left/>
      <right/>
      <top/>
      <bottom style="thin">
        <color theme="0" tint="-0.249977111117893"/>
      </bottom>
      <diagonal/>
    </border>
    <border>
      <left/>
      <right/>
      <top style="thin">
        <color theme="0" tint="-0.249977111117893"/>
      </top>
      <bottom/>
      <diagonal/>
    </border>
    <border>
      <left/>
      <right style="thin">
        <color theme="0" tint="-0.249977111117893"/>
      </right>
      <top/>
      <bottom/>
      <diagonal/>
    </border>
    <border>
      <left/>
      <right/>
      <top style="thin">
        <color rgb="FFD7D1C2"/>
      </top>
      <bottom style="thin">
        <color theme="0" tint="-0.249977111117893"/>
      </bottom>
      <diagonal/>
    </border>
    <border>
      <left/>
      <right style="thin">
        <color theme="0" tint="-0.249977111117893"/>
      </right>
      <top/>
      <bottom style="thin">
        <color theme="0" tint="-0.14999847407452621"/>
      </bottom>
      <diagonal/>
    </border>
    <border>
      <left style="thin">
        <color rgb="FFD7D1C2"/>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2" tint="-9.9948118533890809E-2"/>
      </top>
      <bottom/>
      <diagonal/>
    </border>
    <border>
      <left style="thin">
        <color rgb="FFD7D1C2"/>
      </left>
      <right/>
      <top/>
      <bottom style="thin">
        <color theme="0" tint="-0.249977111117893"/>
      </bottom>
      <diagonal/>
    </border>
    <border>
      <left/>
      <right style="thin">
        <color rgb="FFD7D1C2"/>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top/>
      <bottom style="thin">
        <color rgb="FFE58200"/>
      </bottom>
      <diagonal/>
    </border>
    <border>
      <left/>
      <right/>
      <top style="thin">
        <color rgb="FFE58200"/>
      </top>
      <bottom/>
      <diagonal/>
    </border>
    <border>
      <left style="thin">
        <color rgb="FFE58200"/>
      </left>
      <right style="thin">
        <color rgb="FFE58200"/>
      </right>
      <top style="thin">
        <color rgb="FFE58200"/>
      </top>
      <bottom style="thin">
        <color rgb="FFE58200"/>
      </bottom>
      <diagonal/>
    </border>
    <border>
      <left style="thin">
        <color rgb="FFE58200"/>
      </left>
      <right/>
      <top style="thin">
        <color rgb="FFE58200"/>
      </top>
      <bottom/>
      <diagonal/>
    </border>
    <border>
      <left/>
      <right style="thin">
        <color rgb="FFE58200"/>
      </right>
      <top style="thin">
        <color rgb="FFE58200"/>
      </top>
      <bottom/>
      <diagonal/>
    </border>
    <border>
      <left style="thin">
        <color rgb="FFE58200"/>
      </left>
      <right/>
      <top/>
      <bottom style="thin">
        <color rgb="FFE58200"/>
      </bottom>
      <diagonal/>
    </border>
    <border>
      <left/>
      <right style="thin">
        <color rgb="FFE58200"/>
      </right>
      <top/>
      <bottom style="thin">
        <color rgb="FFE58200"/>
      </bottom>
      <diagonal/>
    </border>
    <border>
      <left/>
      <right/>
      <top/>
      <bottom style="thin">
        <color rgb="FF2334D4"/>
      </bottom>
      <diagonal/>
    </border>
    <border>
      <left style="thin">
        <color theme="0" tint="-0.249977111117893"/>
      </left>
      <right style="hair">
        <color rgb="FFA628B1"/>
      </right>
      <top/>
      <bottom/>
      <diagonal/>
    </border>
    <border>
      <left style="thin">
        <color rgb="FFA628B1"/>
      </left>
      <right style="thin">
        <color rgb="FFA628B1"/>
      </right>
      <top style="thin">
        <color rgb="FFA628B1"/>
      </top>
      <bottom style="thin">
        <color rgb="FFA628B1"/>
      </bottom>
      <diagonal/>
    </border>
    <border>
      <left style="thin">
        <color rgb="FFA628B1"/>
      </left>
      <right/>
      <top style="thin">
        <color rgb="FFA628B1"/>
      </top>
      <bottom/>
      <diagonal/>
    </border>
    <border>
      <left/>
      <right/>
      <top style="thin">
        <color rgb="FFA628B1"/>
      </top>
      <bottom/>
      <diagonal/>
    </border>
    <border>
      <left/>
      <right style="thin">
        <color rgb="FFA628B1"/>
      </right>
      <top style="thin">
        <color rgb="FFA628B1"/>
      </top>
      <bottom/>
      <diagonal/>
    </border>
    <border>
      <left style="thin">
        <color rgb="FFA628B1"/>
      </left>
      <right/>
      <top/>
      <bottom style="thin">
        <color rgb="FFA628B1"/>
      </bottom>
      <diagonal/>
    </border>
    <border>
      <left/>
      <right/>
      <top/>
      <bottom style="thin">
        <color rgb="FFA628B1"/>
      </bottom>
      <diagonal/>
    </border>
    <border>
      <left/>
      <right style="thin">
        <color rgb="FFA628B1"/>
      </right>
      <top/>
      <bottom style="thin">
        <color rgb="FFA628B1"/>
      </bottom>
      <diagonal/>
    </border>
    <border>
      <left style="thin">
        <color rgb="FFA628B1"/>
      </left>
      <right/>
      <top style="thin">
        <color rgb="FFA628B1"/>
      </top>
      <bottom style="thin">
        <color rgb="FFA628B1"/>
      </bottom>
      <diagonal/>
    </border>
    <border>
      <left/>
      <right/>
      <top style="thin">
        <color rgb="FFA628B1"/>
      </top>
      <bottom style="thin">
        <color rgb="FFA628B1"/>
      </bottom>
      <diagonal/>
    </border>
    <border>
      <left/>
      <right style="thin">
        <color rgb="FFA628B1"/>
      </right>
      <top style="thin">
        <color rgb="FFA628B1"/>
      </top>
      <bottom style="thin">
        <color rgb="FFA628B1"/>
      </bottom>
      <diagonal/>
    </border>
    <border>
      <left style="thick">
        <color rgb="FF448E01"/>
      </left>
      <right/>
      <top/>
      <bottom style="thin">
        <color theme="0" tint="-0.249977111117893"/>
      </bottom>
      <diagonal/>
    </border>
    <border>
      <left/>
      <right style="thin">
        <color theme="2" tint="-9.9948118533890809E-2"/>
      </right>
      <top/>
      <bottom style="thin">
        <color theme="0" tint="-0.249977111117893"/>
      </bottom>
      <diagonal/>
    </border>
    <border>
      <left style="thin">
        <color rgb="FFE58200"/>
      </left>
      <right/>
      <top style="thin">
        <color rgb="FFE58200"/>
      </top>
      <bottom style="thin">
        <color rgb="FFE58200"/>
      </bottom>
      <diagonal/>
    </border>
    <border>
      <left/>
      <right/>
      <top style="thin">
        <color rgb="FFE58200"/>
      </top>
      <bottom style="thin">
        <color rgb="FFE58200"/>
      </bottom>
      <diagonal/>
    </border>
    <border>
      <left/>
      <right style="thin">
        <color rgb="FFE58200"/>
      </right>
      <top style="thin">
        <color rgb="FFE58200"/>
      </top>
      <bottom style="thin">
        <color rgb="FFE58200"/>
      </bottom>
      <diagonal/>
    </border>
    <border>
      <left style="thin">
        <color rgb="FFA628B1"/>
      </left>
      <right style="thin">
        <color rgb="FFA628B1"/>
      </right>
      <top style="thin">
        <color rgb="FFA628B1"/>
      </top>
      <bottom/>
      <diagonal/>
    </border>
    <border>
      <left style="thin">
        <color rgb="FFA628B1"/>
      </left>
      <right style="thin">
        <color rgb="FFA628B1"/>
      </right>
      <top/>
      <bottom style="thin">
        <color rgb="FFA628B1"/>
      </bottom>
      <diagonal/>
    </border>
    <border>
      <left style="hair">
        <color rgb="FFA628B1"/>
      </left>
      <right style="hair">
        <color rgb="FFA628B1"/>
      </right>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ck">
        <color rgb="FFDC2917"/>
      </right>
      <top/>
      <bottom/>
      <diagonal/>
    </border>
    <border>
      <left style="medium">
        <color theme="1"/>
      </left>
      <right style="medium">
        <color theme="1"/>
      </right>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1A79A"/>
      </left>
      <right/>
      <top style="thin">
        <color rgb="FF01A79A"/>
      </top>
      <bottom/>
      <diagonal/>
    </border>
    <border>
      <left/>
      <right/>
      <top style="thin">
        <color rgb="FF01A79A"/>
      </top>
      <bottom/>
      <diagonal/>
    </border>
    <border>
      <left/>
      <right style="thin">
        <color rgb="FF01A79A"/>
      </right>
      <top style="thin">
        <color rgb="FF01A79A"/>
      </top>
      <bottom/>
      <diagonal/>
    </border>
    <border>
      <left style="thin">
        <color rgb="FF01A79A"/>
      </left>
      <right/>
      <top/>
      <bottom/>
      <diagonal/>
    </border>
    <border>
      <left/>
      <right style="thin">
        <color rgb="FF01A79A"/>
      </right>
      <top/>
      <bottom/>
      <diagonal/>
    </border>
    <border>
      <left style="thin">
        <color rgb="FF01A79A"/>
      </left>
      <right/>
      <top/>
      <bottom style="thin">
        <color rgb="FF01A79A"/>
      </bottom>
      <diagonal/>
    </border>
    <border>
      <left/>
      <right/>
      <top/>
      <bottom style="thin">
        <color rgb="FF01A79A"/>
      </bottom>
      <diagonal/>
    </border>
    <border>
      <left/>
      <right style="thin">
        <color rgb="FF01A79A"/>
      </right>
      <top/>
      <bottom style="thin">
        <color rgb="FF01A79A"/>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73">
    <xf numFmtId="0" fontId="0" fillId="0" borderId="0" xfId="0"/>
    <xf numFmtId="0" fontId="2" fillId="0" borderId="0" xfId="0" applyFont="1" applyAlignment="1">
      <alignment horizontal="center"/>
    </xf>
    <xf numFmtId="0" fontId="2" fillId="3" borderId="0" xfId="0" applyFont="1" applyFill="1"/>
    <xf numFmtId="0" fontId="2" fillId="3" borderId="0" xfId="0" applyFont="1" applyFill="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2" fillId="3" borderId="5" xfId="0" applyFont="1" applyFill="1" applyBorder="1"/>
    <xf numFmtId="0" fontId="4" fillId="3" borderId="0" xfId="0" applyFont="1" applyFill="1" applyAlignment="1">
      <alignment horizontal="left" indent="1"/>
    </xf>
    <xf numFmtId="0" fontId="4" fillId="3" borderId="0" xfId="0" applyFont="1" applyFill="1"/>
    <xf numFmtId="49" fontId="5" fillId="3" borderId="0" xfId="0" applyNumberFormat="1"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xf>
    <xf numFmtId="9" fontId="11" fillId="3" borderId="0" xfId="3" applyFont="1" applyFill="1" applyBorder="1" applyAlignment="1"/>
    <xf numFmtId="0" fontId="2" fillId="3" borderId="0" xfId="0" applyFont="1" applyFill="1" applyAlignment="1">
      <alignment horizontal="right" indent="1"/>
    </xf>
    <xf numFmtId="14" fontId="2" fillId="3" borderId="0" xfId="0" applyNumberFormat="1" applyFont="1" applyFill="1" applyAlignment="1">
      <alignment horizontal="center" vertical="center"/>
    </xf>
    <xf numFmtId="2" fontId="2" fillId="3" borderId="0" xfId="0" applyNumberFormat="1" applyFont="1" applyFill="1"/>
    <xf numFmtId="0" fontId="0" fillId="0" borderId="13" xfId="0" applyBorder="1"/>
    <xf numFmtId="0" fontId="18" fillId="0" borderId="13" xfId="0" applyFont="1" applyBorder="1" applyAlignment="1">
      <alignment horizontal="center"/>
    </xf>
    <xf numFmtId="0" fontId="0" fillId="0" borderId="0" xfId="0" applyAlignment="1">
      <alignment horizontal="center" vertical="center" wrapText="1"/>
    </xf>
    <xf numFmtId="0" fontId="18" fillId="0" borderId="0" xfId="0" applyFont="1"/>
    <xf numFmtId="165" fontId="0" fillId="0" borderId="0" xfId="0" applyNumberFormat="1" applyAlignment="1">
      <alignment horizontal="center" vertical="center"/>
    </xf>
    <xf numFmtId="0" fontId="0" fillId="0" borderId="0" xfId="0" applyAlignment="1">
      <alignment horizontal="right" indent="1"/>
    </xf>
    <xf numFmtId="165" fontId="18" fillId="0" borderId="0" xfId="0" applyNumberFormat="1" applyFont="1" applyAlignment="1">
      <alignment horizontal="center" vertical="center"/>
    </xf>
    <xf numFmtId="37" fontId="0" fillId="0" borderId="0" xfId="0" applyNumberFormat="1" applyAlignment="1">
      <alignment horizontal="center" vertical="center"/>
    </xf>
    <xf numFmtId="37" fontId="18" fillId="0" borderId="0" xfId="0" applyNumberFormat="1" applyFont="1" applyAlignment="1">
      <alignment horizontal="center" vertical="center"/>
    </xf>
    <xf numFmtId="7" fontId="0" fillId="0" borderId="0" xfId="0" applyNumberFormat="1" applyAlignment="1">
      <alignment horizontal="right"/>
    </xf>
    <xf numFmtId="0" fontId="2" fillId="3" borderId="0" xfId="0" applyFont="1" applyFill="1" applyAlignment="1">
      <alignment horizontal="right" vertical="center"/>
    </xf>
    <xf numFmtId="8" fontId="14" fillId="3" borderId="0" xfId="2" applyNumberFormat="1" applyFont="1" applyFill="1" applyBorder="1" applyAlignment="1">
      <alignment vertical="center"/>
    </xf>
    <xf numFmtId="166" fontId="0" fillId="0" borderId="0" xfId="3" applyNumberFormat="1" applyFont="1" applyAlignment="1">
      <alignment horizontal="right"/>
    </xf>
    <xf numFmtId="0" fontId="0" fillId="0" borderId="0" xfId="0" applyAlignment="1">
      <alignment horizontal="left" indent="1"/>
    </xf>
    <xf numFmtId="3" fontId="17" fillId="3" borderId="0" xfId="1" applyNumberFormat="1" applyFont="1" applyFill="1" applyBorder="1" applyAlignment="1"/>
    <xf numFmtId="0" fontId="2" fillId="3" borderId="0" xfId="0" applyFont="1" applyFill="1" applyAlignment="1">
      <alignment vertical="center"/>
    </xf>
    <xf numFmtId="7" fontId="0" fillId="11" borderId="0" xfId="0" applyNumberFormat="1" applyFill="1" applyAlignment="1">
      <alignment horizontal="right"/>
    </xf>
    <xf numFmtId="166" fontId="0" fillId="11" borderId="0" xfId="3" applyNumberFormat="1" applyFont="1" applyFill="1" applyAlignment="1">
      <alignment horizontal="right"/>
    </xf>
    <xf numFmtId="14" fontId="2" fillId="3" borderId="0" xfId="0" applyNumberFormat="1" applyFont="1" applyFill="1" applyAlignment="1">
      <alignment horizontal="center"/>
    </xf>
    <xf numFmtId="14" fontId="2" fillId="3" borderId="0" xfId="0" applyNumberFormat="1" applyFont="1" applyFill="1" applyAlignment="1">
      <alignment horizontal="right" vertical="center" indent="1"/>
    </xf>
    <xf numFmtId="14" fontId="2" fillId="3" borderId="0" xfId="0" applyNumberFormat="1" applyFont="1" applyFill="1" applyAlignment="1">
      <alignment horizontal="right" indent="1"/>
    </xf>
    <xf numFmtId="14" fontId="2" fillId="3" borderId="0" xfId="0" applyNumberFormat="1" applyFont="1" applyFill="1" applyAlignment="1">
      <alignment horizontal="left" vertical="center" indent="1"/>
    </xf>
    <xf numFmtId="14" fontId="2" fillId="3" borderId="0" xfId="0" applyNumberFormat="1" applyFont="1" applyFill="1" applyAlignment="1">
      <alignment horizontal="left" indent="1"/>
    </xf>
    <xf numFmtId="3" fontId="13" fillId="3" borderId="20" xfId="1" applyNumberFormat="1" applyFont="1" applyFill="1" applyBorder="1" applyAlignment="1">
      <alignment horizontal="center" vertical="center"/>
    </xf>
    <xf numFmtId="0" fontId="2" fillId="3" borderId="0" xfId="0" applyFont="1" applyFill="1" applyAlignment="1">
      <alignment vertical="center" wrapText="1"/>
    </xf>
    <xf numFmtId="0" fontId="2" fillId="3" borderId="22" xfId="0" applyFont="1" applyFill="1" applyBorder="1"/>
    <xf numFmtId="0" fontId="2" fillId="3" borderId="18" xfId="0" applyFont="1" applyFill="1" applyBorder="1" applyAlignment="1">
      <alignment vertical="center" wrapText="1"/>
    </xf>
    <xf numFmtId="0" fontId="2" fillId="3" borderId="23" xfId="0" applyFont="1" applyFill="1" applyBorder="1"/>
    <xf numFmtId="0" fontId="0" fillId="0" borderId="0" xfId="0" applyProtection="1">
      <protection locked="0"/>
    </xf>
    <xf numFmtId="0" fontId="0" fillId="0" borderId="0" xfId="0" applyAlignment="1" applyProtection="1">
      <alignment vertical="center"/>
      <protection locked="0"/>
    </xf>
    <xf numFmtId="0" fontId="0" fillId="11" borderId="25" xfId="0" applyFill="1" applyBorder="1" applyProtection="1">
      <protection locked="0"/>
    </xf>
    <xf numFmtId="0" fontId="0" fillId="0" borderId="29" xfId="0" applyBorder="1" applyProtection="1">
      <protection locked="0"/>
    </xf>
    <xf numFmtId="164" fontId="0" fillId="10" borderId="29" xfId="0" applyNumberFormat="1" applyFill="1" applyBorder="1" applyAlignment="1" applyProtection="1">
      <alignment horizontal="center" vertical="center"/>
      <protection locked="0"/>
    </xf>
    <xf numFmtId="164" fontId="0" fillId="10" borderId="30" xfId="0" applyNumberFormat="1" applyFill="1" applyBorder="1" applyAlignment="1" applyProtection="1">
      <alignment horizontal="center" vertical="center"/>
      <protection locked="0"/>
    </xf>
    <xf numFmtId="7" fontId="14" fillId="3" borderId="0" xfId="3" applyNumberFormat="1" applyFont="1" applyFill="1" applyBorder="1" applyAlignment="1">
      <alignment horizontal="left" vertical="center"/>
    </xf>
    <xf numFmtId="0" fontId="0" fillId="0" borderId="24" xfId="0" applyBorder="1" applyProtection="1">
      <protection locked="0"/>
    </xf>
    <xf numFmtId="0" fontId="0" fillId="0" borderId="25" xfId="0" applyBorder="1" applyProtection="1">
      <protection locked="0"/>
    </xf>
    <xf numFmtId="0" fontId="0" fillId="0" borderId="27" xfId="0" applyBorder="1" applyProtection="1">
      <protection locked="0"/>
    </xf>
    <xf numFmtId="0" fontId="12" fillId="3" borderId="20" xfId="0" applyFont="1" applyFill="1" applyBorder="1" applyAlignment="1">
      <alignment horizontal="center" vertical="top"/>
    </xf>
    <xf numFmtId="3" fontId="13" fillId="3" borderId="0" xfId="1" applyNumberFormat="1" applyFont="1" applyFill="1" applyBorder="1" applyAlignment="1">
      <alignment horizontal="center" vertical="center"/>
    </xf>
    <xf numFmtId="0" fontId="2" fillId="2" borderId="0" xfId="0" applyFont="1" applyFill="1" applyAlignment="1">
      <alignment horizontal="center" vertical="center"/>
    </xf>
    <xf numFmtId="165" fontId="5" fillId="2" borderId="0" xfId="0" applyNumberFormat="1" applyFont="1" applyFill="1" applyAlignment="1" applyProtection="1">
      <alignment horizontal="center" vertical="center"/>
      <protection locked="0"/>
    </xf>
    <xf numFmtId="0" fontId="6" fillId="3" borderId="1" xfId="0" applyFont="1" applyFill="1" applyBorder="1" applyAlignment="1">
      <alignment horizontal="left" vertical="center" indent="1"/>
    </xf>
    <xf numFmtId="7" fontId="14" fillId="3" borderId="0" xfId="3" applyNumberFormat="1" applyFont="1" applyFill="1" applyBorder="1" applyAlignment="1">
      <alignment vertical="center"/>
    </xf>
    <xf numFmtId="164" fontId="16" fillId="3" borderId="0" xfId="0" applyNumberFormat="1" applyFont="1" applyFill="1"/>
    <xf numFmtId="0" fontId="15" fillId="3" borderId="0" xfId="0" applyFont="1" applyFill="1"/>
    <xf numFmtId="9" fontId="16" fillId="3" borderId="0" xfId="3" applyFont="1" applyFill="1" applyBorder="1" applyAlignment="1">
      <alignment vertical="center"/>
    </xf>
    <xf numFmtId="0" fontId="2" fillId="3" borderId="11" xfId="0" applyFont="1" applyFill="1" applyBorder="1" applyAlignment="1">
      <alignment vertical="center" wrapText="1"/>
    </xf>
    <xf numFmtId="0" fontId="2" fillId="3" borderId="7" xfId="0" applyFont="1" applyFill="1" applyBorder="1" applyAlignment="1">
      <alignment vertical="center"/>
    </xf>
    <xf numFmtId="0" fontId="2" fillId="3" borderId="12" xfId="0" applyFont="1" applyFill="1" applyBorder="1" applyAlignment="1">
      <alignment vertical="center"/>
    </xf>
    <xf numFmtId="164" fontId="9" fillId="3" borderId="0" xfId="3" applyNumberFormat="1" applyFont="1" applyFill="1" applyBorder="1" applyAlignment="1">
      <alignment horizontal="center" vertical="center"/>
    </xf>
    <xf numFmtId="0" fontId="0" fillId="0" borderId="0" xfId="0" applyAlignment="1">
      <alignment horizontal="left" vertical="center" wrapText="1"/>
    </xf>
    <xf numFmtId="0" fontId="15" fillId="3" borderId="0" xfId="0" applyFont="1" applyFill="1" applyAlignment="1">
      <alignment horizontal="center" vertical="top"/>
    </xf>
    <xf numFmtId="0" fontId="15" fillId="3" borderId="32" xfId="0" applyFont="1" applyFill="1" applyBorder="1" applyAlignment="1">
      <alignment horizontal="center" vertical="top"/>
    </xf>
    <xf numFmtId="0" fontId="2" fillId="3" borderId="33" xfId="0" applyFont="1" applyFill="1" applyBorder="1"/>
    <xf numFmtId="164" fontId="31" fillId="3" borderId="32" xfId="0" applyNumberFormat="1" applyFont="1" applyFill="1" applyBorder="1" applyAlignment="1">
      <alignment horizontal="center" vertical="center"/>
    </xf>
    <xf numFmtId="164" fontId="31" fillId="3" borderId="0" xfId="0" applyNumberFormat="1" applyFont="1" applyFill="1" applyAlignment="1">
      <alignment horizontal="center" vertical="center"/>
    </xf>
    <xf numFmtId="0" fontId="29" fillId="3" borderId="0" xfId="0" applyFont="1" applyFill="1" applyAlignment="1">
      <alignment horizontal="right" vertical="center" indent="1"/>
    </xf>
    <xf numFmtId="0" fontId="29" fillId="3" borderId="0" xfId="0" applyFont="1" applyFill="1" applyAlignment="1">
      <alignment horizontal="center" vertical="center"/>
    </xf>
    <xf numFmtId="0" fontId="29" fillId="3" borderId="0" xfId="0" applyFont="1" applyFill="1" applyAlignment="1">
      <alignment horizontal="left" vertical="center" indent="1"/>
    </xf>
    <xf numFmtId="0" fontId="10" fillId="3" borderId="0" xfId="0" applyFont="1" applyFill="1" applyAlignment="1">
      <alignment horizontal="center" vertical="center" wrapText="1"/>
    </xf>
    <xf numFmtId="0" fontId="2" fillId="13" borderId="0" xfId="0" applyFont="1" applyFill="1"/>
    <xf numFmtId="0" fontId="2" fillId="13" borderId="1" xfId="0" applyFont="1" applyFill="1" applyBorder="1"/>
    <xf numFmtId="0" fontId="35" fillId="0" borderId="0" xfId="0" applyFont="1"/>
    <xf numFmtId="0" fontId="2" fillId="3" borderId="18" xfId="0" applyFont="1" applyFill="1" applyBorder="1"/>
    <xf numFmtId="0" fontId="2" fillId="3" borderId="17" xfId="0" applyFont="1" applyFill="1" applyBorder="1"/>
    <xf numFmtId="0" fontId="34" fillId="3" borderId="17" xfId="0" applyFont="1" applyFill="1" applyBorder="1"/>
    <xf numFmtId="0" fontId="2" fillId="3" borderId="19" xfId="0" applyFont="1" applyFill="1" applyBorder="1"/>
    <xf numFmtId="0" fontId="2" fillId="3" borderId="38" xfId="0" applyFont="1" applyFill="1" applyBorder="1" applyAlignment="1">
      <alignment vertical="center"/>
    </xf>
    <xf numFmtId="0" fontId="2" fillId="3" borderId="39" xfId="0" applyFont="1" applyFill="1" applyBorder="1" applyAlignment="1">
      <alignment vertical="center"/>
    </xf>
    <xf numFmtId="0" fontId="2" fillId="3" borderId="37" xfId="0" applyFont="1" applyFill="1" applyBorder="1"/>
    <xf numFmtId="165" fontId="5" fillId="3" borderId="0" xfId="0" applyNumberFormat="1" applyFont="1" applyFill="1" applyAlignment="1" applyProtection="1">
      <alignment vertical="center"/>
      <protection locked="0"/>
    </xf>
    <xf numFmtId="0" fontId="2" fillId="14" borderId="0" xfId="0" applyFont="1" applyFill="1"/>
    <xf numFmtId="0" fontId="23" fillId="0" borderId="0" xfId="0" applyFont="1" applyProtection="1">
      <protection locked="0"/>
    </xf>
    <xf numFmtId="0" fontId="18" fillId="0" borderId="28" xfId="0" applyFont="1" applyBorder="1" applyProtection="1">
      <protection locked="0"/>
    </xf>
    <xf numFmtId="0" fontId="0" fillId="0" borderId="13" xfId="0" applyBorder="1" applyAlignment="1" applyProtection="1">
      <alignment vertical="top" wrapText="1"/>
      <protection locked="0"/>
    </xf>
    <xf numFmtId="0" fontId="0" fillId="11" borderId="29" xfId="0" applyFill="1" applyBorder="1" applyProtection="1">
      <protection locked="0"/>
    </xf>
    <xf numFmtId="14" fontId="38" fillId="0" borderId="14" xfId="0" applyNumberFormat="1" applyFont="1" applyBorder="1" applyAlignment="1" applyProtection="1">
      <alignment horizontal="center" vertical="center"/>
      <protection locked="0"/>
    </xf>
    <xf numFmtId="14" fontId="38" fillId="0" borderId="31" xfId="0" applyNumberFormat="1" applyFont="1" applyBorder="1" applyAlignment="1" applyProtection="1">
      <alignment horizontal="center" vertical="center"/>
      <protection locked="0"/>
    </xf>
    <xf numFmtId="0" fontId="0" fillId="0" borderId="26" xfId="0" applyBorder="1" applyProtection="1">
      <protection locked="0"/>
    </xf>
    <xf numFmtId="0" fontId="0" fillId="0" borderId="43" xfId="0" applyBorder="1" applyProtection="1">
      <protection locked="0"/>
    </xf>
    <xf numFmtId="0" fontId="39" fillId="0" borderId="27" xfId="0" applyFont="1" applyBorder="1" applyAlignment="1" applyProtection="1">
      <alignment vertical="center" wrapText="1"/>
      <protection locked="0"/>
    </xf>
    <xf numFmtId="0" fontId="0" fillId="0" borderId="0" xfId="0" applyAlignment="1" applyProtection="1">
      <alignment horizontal="left" indent="2"/>
      <protection locked="0"/>
    </xf>
    <xf numFmtId="164" fontId="0" fillId="0" borderId="0" xfId="0" applyNumberFormat="1" applyAlignment="1" applyProtection="1">
      <alignment horizontal="center" vertical="center"/>
      <protection locked="0"/>
    </xf>
    <xf numFmtId="164" fontId="18" fillId="0" borderId="0" xfId="0" applyNumberFormat="1" applyFont="1" applyAlignment="1" applyProtection="1">
      <alignment horizontal="center" vertical="center"/>
      <protection locked="0"/>
    </xf>
    <xf numFmtId="0" fontId="0" fillId="0" borderId="28" xfId="0" applyBorder="1" applyProtection="1">
      <protection locked="0"/>
    </xf>
    <xf numFmtId="0" fontId="0" fillId="0" borderId="30" xfId="0" applyBorder="1" applyProtection="1">
      <protection locked="0"/>
    </xf>
    <xf numFmtId="0" fontId="23" fillId="0" borderId="43" xfId="0" applyFont="1" applyBorder="1" applyProtection="1">
      <protection locked="0"/>
    </xf>
    <xf numFmtId="0" fontId="23" fillId="0" borderId="13" xfId="0" applyFont="1" applyBorder="1" applyProtection="1">
      <protection locked="0"/>
    </xf>
    <xf numFmtId="0" fontId="2" fillId="3" borderId="48" xfId="0" applyFont="1" applyFill="1" applyBorder="1"/>
    <xf numFmtId="0" fontId="18" fillId="0" borderId="0" xfId="0" applyFont="1" applyProtection="1">
      <protection locked="0"/>
    </xf>
    <xf numFmtId="164" fontId="0" fillId="0" borderId="0" xfId="0" applyNumberFormat="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38" fillId="0" borderId="13" xfId="0" applyFont="1" applyBorder="1" applyAlignment="1" applyProtection="1">
      <alignment horizontal="center" vertical="center"/>
      <protection locked="0"/>
    </xf>
    <xf numFmtId="0" fontId="41" fillId="3" borderId="0" xfId="0" applyFont="1" applyFill="1" applyAlignment="1">
      <alignment horizontal="center"/>
    </xf>
    <xf numFmtId="49" fontId="21" fillId="3" borderId="0" xfId="0" applyNumberFormat="1" applyFont="1" applyFill="1" applyAlignment="1">
      <alignment horizontal="left" vertical="center"/>
    </xf>
    <xf numFmtId="0" fontId="21" fillId="3" borderId="0" xfId="0" applyFont="1" applyFill="1"/>
    <xf numFmtId="0" fontId="42" fillId="0" borderId="0" xfId="0" applyFont="1" applyAlignment="1" applyProtection="1">
      <alignment horizontal="center"/>
      <protection locked="0"/>
    </xf>
    <xf numFmtId="0" fontId="42" fillId="0" borderId="0" xfId="0" applyFont="1" applyAlignment="1" applyProtection="1">
      <alignment horizontal="center" vertical="center"/>
      <protection locked="0"/>
    </xf>
    <xf numFmtId="14" fontId="38" fillId="0" borderId="0" xfId="0" applyNumberFormat="1" applyFont="1" applyAlignment="1" applyProtection="1">
      <alignment horizontal="center" vertical="center"/>
      <protection locked="0"/>
    </xf>
    <xf numFmtId="14" fontId="43" fillId="0" borderId="0" xfId="0" applyNumberFormat="1" applyFont="1" applyAlignment="1" applyProtection="1">
      <alignment horizontal="center" vertical="center"/>
      <protection locked="0"/>
    </xf>
    <xf numFmtId="0" fontId="8" fillId="3" borderId="0" xfId="0" applyFont="1" applyFill="1"/>
    <xf numFmtId="0" fontId="6" fillId="3" borderId="0" xfId="0" applyFont="1" applyFill="1" applyAlignment="1">
      <alignment horizontal="left" vertical="center" indent="1"/>
    </xf>
    <xf numFmtId="0" fontId="2" fillId="3" borderId="61" xfId="0" applyFont="1" applyFill="1" applyBorder="1"/>
    <xf numFmtId="0" fontId="7" fillId="3" borderId="0" xfId="0" applyFont="1" applyFill="1" applyAlignment="1">
      <alignment horizontal="center" vertical="center"/>
    </xf>
    <xf numFmtId="0" fontId="2" fillId="3" borderId="64" xfId="0" applyFont="1" applyFill="1" applyBorder="1"/>
    <xf numFmtId="0" fontId="2" fillId="3" borderId="63" xfId="0" applyFont="1" applyFill="1" applyBorder="1"/>
    <xf numFmtId="0" fontId="2" fillId="3" borderId="65" xfId="0" applyFont="1" applyFill="1" applyBorder="1"/>
    <xf numFmtId="0" fontId="2" fillId="3" borderId="66" xfId="0" applyFont="1" applyFill="1" applyBorder="1"/>
    <xf numFmtId="0" fontId="2" fillId="13" borderId="63" xfId="0" applyFont="1" applyFill="1" applyBorder="1"/>
    <xf numFmtId="0" fontId="2" fillId="3" borderId="67" xfId="0" applyFont="1" applyFill="1" applyBorder="1"/>
    <xf numFmtId="0" fontId="4" fillId="3" borderId="61" xfId="0" applyFont="1" applyFill="1" applyBorder="1" applyAlignment="1">
      <alignment horizontal="left" indent="1"/>
    </xf>
    <xf numFmtId="49" fontId="3" fillId="3" borderId="61" xfId="0" applyNumberFormat="1" applyFont="1" applyFill="1" applyBorder="1" applyAlignment="1">
      <alignment horizontal="center"/>
    </xf>
    <xf numFmtId="49" fontId="3" fillId="0" borderId="61" xfId="0" applyNumberFormat="1" applyFont="1" applyBorder="1" applyAlignment="1">
      <alignment horizontal="center"/>
    </xf>
    <xf numFmtId="0" fontId="4" fillId="3" borderId="61" xfId="0" applyFont="1" applyFill="1" applyBorder="1"/>
    <xf numFmtId="8" fontId="27" fillId="3" borderId="0" xfId="2" applyNumberFormat="1" applyFont="1" applyFill="1" applyBorder="1" applyAlignment="1">
      <alignment vertical="center"/>
    </xf>
    <xf numFmtId="7" fontId="27" fillId="3" borderId="0" xfId="3" applyNumberFormat="1" applyFont="1" applyFill="1" applyBorder="1" applyAlignment="1">
      <alignment vertical="center"/>
    </xf>
    <xf numFmtId="8" fontId="44" fillId="3" borderId="0" xfId="2" applyNumberFormat="1" applyFont="1" applyFill="1" applyBorder="1" applyAlignment="1">
      <alignment vertical="center"/>
    </xf>
    <xf numFmtId="8" fontId="44" fillId="3" borderId="0" xfId="2" applyNumberFormat="1" applyFont="1" applyFill="1" applyBorder="1" applyAlignment="1">
      <alignment horizontal="center" vertical="center"/>
    </xf>
    <xf numFmtId="8" fontId="27" fillId="3" borderId="0" xfId="2" applyNumberFormat="1" applyFont="1" applyFill="1" applyBorder="1" applyAlignment="1">
      <alignment horizontal="center" vertical="center"/>
    </xf>
    <xf numFmtId="0" fontId="2" fillId="3" borderId="0" xfId="0" applyFont="1" applyFill="1" applyAlignment="1">
      <alignment vertical="top" wrapText="1"/>
    </xf>
    <xf numFmtId="0" fontId="2" fillId="3" borderId="63" xfId="0" applyFont="1" applyFill="1" applyBorder="1" applyAlignment="1">
      <alignment vertical="top" wrapText="1"/>
    </xf>
    <xf numFmtId="0" fontId="2" fillId="3" borderId="61" xfId="0" applyFont="1" applyFill="1" applyBorder="1" applyAlignment="1">
      <alignment horizontal="right" vertical="center"/>
    </xf>
    <xf numFmtId="0" fontId="21" fillId="3" borderId="61" xfId="0" applyFont="1" applyFill="1" applyBorder="1" applyAlignment="1">
      <alignment horizontal="right" vertical="center"/>
    </xf>
    <xf numFmtId="7" fontId="14" fillId="3" borderId="61" xfId="3" applyNumberFormat="1" applyFont="1" applyFill="1" applyBorder="1" applyAlignment="1">
      <alignment horizontal="left" vertical="center"/>
    </xf>
    <xf numFmtId="0" fontId="2" fillId="3" borderId="72" xfId="0" applyFont="1" applyFill="1" applyBorder="1"/>
    <xf numFmtId="0" fontId="2" fillId="3" borderId="73" xfId="0" applyFont="1" applyFill="1" applyBorder="1"/>
    <xf numFmtId="0" fontId="2" fillId="2" borderId="0" xfId="0" applyFont="1" applyFill="1" applyAlignment="1">
      <alignment horizontal="center"/>
    </xf>
    <xf numFmtId="169" fontId="44" fillId="3" borderId="0" xfId="2" applyNumberFormat="1" applyFont="1" applyFill="1" applyBorder="1" applyAlignment="1">
      <alignment horizontal="left" vertical="center"/>
    </xf>
    <xf numFmtId="10" fontId="44" fillId="3" borderId="0" xfId="3" applyNumberFormat="1" applyFont="1" applyFill="1" applyBorder="1" applyAlignment="1">
      <alignment horizontal="left" vertical="center"/>
    </xf>
    <xf numFmtId="8" fontId="44" fillId="3" borderId="0" xfId="2" applyNumberFormat="1" applyFont="1" applyFill="1" applyBorder="1" applyAlignment="1">
      <alignment horizontal="left" vertical="center"/>
    </xf>
    <xf numFmtId="7" fontId="44" fillId="3" borderId="0" xfId="3" applyNumberFormat="1" applyFont="1" applyFill="1" applyBorder="1" applyAlignment="1">
      <alignment vertical="center"/>
    </xf>
    <xf numFmtId="10" fontId="44" fillId="3" borderId="0" xfId="3" applyNumberFormat="1" applyFont="1" applyFill="1" applyBorder="1" applyAlignment="1">
      <alignment horizontal="center" vertical="center"/>
    </xf>
    <xf numFmtId="0" fontId="6" fillId="3" borderId="63" xfId="0" applyFont="1" applyFill="1" applyBorder="1" applyAlignment="1">
      <alignment horizontal="left" vertical="center" indent="1"/>
    </xf>
    <xf numFmtId="8" fontId="14" fillId="3" borderId="63" xfId="2" applyNumberFormat="1" applyFont="1" applyFill="1" applyBorder="1" applyAlignment="1">
      <alignment vertical="center"/>
    </xf>
    <xf numFmtId="10" fontId="14" fillId="3" borderId="63" xfId="3" applyNumberFormat="1" applyFont="1" applyFill="1" applyBorder="1" applyAlignment="1">
      <alignment vertical="center"/>
    </xf>
    <xf numFmtId="7" fontId="14" fillId="3" borderId="63" xfId="3" applyNumberFormat="1" applyFont="1" applyFill="1" applyBorder="1" applyAlignment="1">
      <alignment vertical="center"/>
    </xf>
    <xf numFmtId="0" fontId="21" fillId="3" borderId="0" xfId="0" applyFont="1" applyFill="1" applyAlignment="1">
      <alignment horizontal="right" vertical="center"/>
    </xf>
    <xf numFmtId="7" fontId="14" fillId="3" borderId="63" xfId="3" applyNumberFormat="1" applyFont="1" applyFill="1" applyBorder="1" applyAlignment="1">
      <alignment horizontal="left" vertical="center"/>
    </xf>
    <xf numFmtId="0" fontId="9" fillId="3" borderId="0" xfId="0" applyFont="1" applyFill="1" applyAlignment="1">
      <alignment horizontal="center" vertical="top"/>
    </xf>
    <xf numFmtId="0" fontId="26" fillId="3" borderId="63" xfId="0" applyFont="1" applyFill="1" applyBorder="1" applyAlignment="1">
      <alignment horizontal="left" vertical="top"/>
    </xf>
    <xf numFmtId="7" fontId="14" fillId="3" borderId="74" xfId="3" applyNumberFormat="1" applyFont="1" applyFill="1" applyBorder="1" applyAlignment="1">
      <alignment horizontal="left" vertical="center"/>
    </xf>
    <xf numFmtId="0" fontId="2" fillId="15" borderId="0" xfId="0" applyFont="1" applyFill="1"/>
    <xf numFmtId="0" fontId="4" fillId="3" borderId="0" xfId="0" applyFont="1" applyFill="1" applyAlignment="1">
      <alignment vertical="center"/>
    </xf>
    <xf numFmtId="0" fontId="2" fillId="3" borderId="69" xfId="0" applyFont="1" applyFill="1" applyBorder="1"/>
    <xf numFmtId="0" fontId="2" fillId="3" borderId="74" xfId="0" applyFont="1" applyFill="1" applyBorder="1"/>
    <xf numFmtId="0" fontId="2" fillId="3" borderId="68" xfId="0" applyFont="1" applyFill="1" applyBorder="1"/>
    <xf numFmtId="0" fontId="9" fillId="3" borderId="0" xfId="0" applyFont="1" applyFill="1" applyAlignment="1">
      <alignment horizontal="center" vertical="center"/>
    </xf>
    <xf numFmtId="0" fontId="6" fillId="3" borderId="68" xfId="0" applyFont="1" applyFill="1" applyBorder="1" applyAlignment="1">
      <alignment horizontal="left" vertical="center" indent="1"/>
    </xf>
    <xf numFmtId="0" fontId="2" fillId="3" borderId="0" xfId="0" applyFont="1" applyFill="1" applyAlignment="1">
      <alignment horizontal="left" vertical="center"/>
    </xf>
    <xf numFmtId="0" fontId="6" fillId="4" borderId="63" xfId="0" applyFont="1" applyFill="1" applyBorder="1" applyAlignment="1">
      <alignment vertical="center"/>
    </xf>
    <xf numFmtId="0" fontId="2" fillId="14" borderId="62" xfId="0" applyFont="1" applyFill="1" applyBorder="1"/>
    <xf numFmtId="0" fontId="35" fillId="0" borderId="13" xfId="0" applyFont="1" applyBorder="1" applyAlignment="1">
      <alignment horizontal="center" vertical="center"/>
    </xf>
    <xf numFmtId="0" fontId="35" fillId="0" borderId="13" xfId="0" applyFont="1" applyBorder="1"/>
    <xf numFmtId="0" fontId="0" fillId="0" borderId="13" xfId="0" applyBorder="1" applyAlignment="1">
      <alignment horizontal="center" vertical="center"/>
    </xf>
    <xf numFmtId="44" fontId="0" fillId="0" borderId="0" xfId="2" applyFont="1"/>
    <xf numFmtId="44" fontId="0" fillId="0" borderId="0" xfId="0" applyNumberFormat="1"/>
    <xf numFmtId="44" fontId="38" fillId="0" borderId="0" xfId="0" applyNumberFormat="1" applyFont="1"/>
    <xf numFmtId="0" fontId="0" fillId="0" borderId="0" xfId="0" applyAlignment="1">
      <alignment horizontal="left"/>
    </xf>
    <xf numFmtId="0" fontId="2" fillId="3" borderId="77" xfId="0" applyFont="1" applyFill="1" applyBorder="1"/>
    <xf numFmtId="0" fontId="47" fillId="0" borderId="13" xfId="0" applyFont="1" applyBorder="1" applyAlignment="1">
      <alignment horizontal="center" vertical="center"/>
    </xf>
    <xf numFmtId="0" fontId="47" fillId="0" borderId="13" xfId="0" applyFont="1" applyBorder="1"/>
    <xf numFmtId="0" fontId="48" fillId="0" borderId="13" xfId="0" applyFont="1" applyBorder="1" applyAlignment="1">
      <alignment horizontal="center" vertical="center"/>
    </xf>
    <xf numFmtId="0" fontId="48" fillId="0" borderId="13" xfId="0" applyFont="1" applyBorder="1"/>
    <xf numFmtId="0" fontId="49" fillId="0" borderId="13" xfId="0" applyFont="1" applyBorder="1"/>
    <xf numFmtId="7" fontId="0" fillId="0" borderId="0" xfId="0" applyNumberFormat="1" applyAlignment="1">
      <alignment horizontal="center" vertical="center"/>
    </xf>
    <xf numFmtId="7" fontId="27" fillId="3" borderId="84" xfId="3" applyNumberFormat="1" applyFont="1" applyFill="1" applyBorder="1" applyAlignment="1">
      <alignment vertical="center"/>
    </xf>
    <xf numFmtId="164" fontId="35" fillId="0" borderId="0" xfId="0" applyNumberFormat="1" applyFont="1" applyAlignment="1">
      <alignment horizontal="center" vertical="center"/>
    </xf>
    <xf numFmtId="166" fontId="2" fillId="3" borderId="0" xfId="3" applyNumberFormat="1" applyFont="1" applyFill="1"/>
    <xf numFmtId="3" fontId="14" fillId="3" borderId="0" xfId="1" applyNumberFormat="1" applyFont="1" applyFill="1" applyBorder="1" applyAlignment="1">
      <alignment horizontal="center" vertical="center"/>
    </xf>
    <xf numFmtId="3" fontId="45" fillId="3" borderId="0" xfId="1" applyNumberFormat="1" applyFont="1" applyFill="1" applyBorder="1" applyAlignment="1">
      <alignment horizontal="center" vertical="center"/>
    </xf>
    <xf numFmtId="165" fontId="0" fillId="0" borderId="0" xfId="0" applyNumberFormat="1" applyAlignment="1">
      <alignment horizontal="left" vertical="center"/>
    </xf>
    <xf numFmtId="0" fontId="38" fillId="0" borderId="0" xfId="0" applyFont="1"/>
    <xf numFmtId="0" fontId="2" fillId="0" borderId="0" xfId="0" applyFont="1" applyAlignment="1">
      <alignment vertical="center" wrapText="1"/>
    </xf>
    <xf numFmtId="0" fontId="12" fillId="3" borderId="0" xfId="0" applyFont="1" applyFill="1" applyAlignment="1">
      <alignment vertical="top"/>
    </xf>
    <xf numFmtId="0" fontId="9" fillId="3" borderId="0" xfId="0" applyFont="1" applyFill="1" applyAlignment="1">
      <alignment vertical="top"/>
    </xf>
    <xf numFmtId="167" fontId="53" fillId="3" borderId="0" xfId="0" applyNumberFormat="1" applyFont="1" applyFill="1" applyAlignment="1">
      <alignment horizontal="center" vertical="center"/>
    </xf>
    <xf numFmtId="0" fontId="54" fillId="3" borderId="0" xfId="0" applyFont="1" applyFill="1" applyAlignment="1">
      <alignment horizontal="center" vertical="center" wrapText="1"/>
    </xf>
    <xf numFmtId="0" fontId="54" fillId="3" borderId="20" xfId="0" applyFont="1" applyFill="1" applyBorder="1" applyAlignment="1">
      <alignment horizontal="center" vertical="center" wrapText="1"/>
    </xf>
    <xf numFmtId="0" fontId="9" fillId="3" borderId="20" xfId="0" applyFont="1" applyFill="1" applyBorder="1" applyAlignment="1">
      <alignment vertical="center"/>
    </xf>
    <xf numFmtId="0" fontId="55" fillId="3" borderId="20" xfId="0" applyFont="1" applyFill="1" applyBorder="1" applyAlignment="1">
      <alignment horizontal="center" vertical="center"/>
    </xf>
    <xf numFmtId="0" fontId="6" fillId="3" borderId="20" xfId="0" applyFont="1" applyFill="1" applyBorder="1" applyAlignment="1">
      <alignment horizontal="left" vertical="center" indent="1"/>
    </xf>
    <xf numFmtId="0" fontId="6" fillId="3" borderId="20" xfId="0" applyFont="1" applyFill="1" applyBorder="1" applyAlignment="1">
      <alignment horizontal="left" vertical="center"/>
    </xf>
    <xf numFmtId="167" fontId="53" fillId="3" borderId="20" xfId="0" applyNumberFormat="1" applyFont="1" applyFill="1" applyBorder="1" applyAlignment="1">
      <alignment horizontal="center" vertical="center"/>
    </xf>
    <xf numFmtId="0" fontId="6" fillId="3" borderId="85" xfId="0" applyFont="1" applyFill="1" applyBorder="1" applyAlignment="1">
      <alignment horizontal="left" vertical="center" indent="1"/>
    </xf>
    <xf numFmtId="0" fontId="2" fillId="3" borderId="85" xfId="0" applyFont="1" applyFill="1" applyBorder="1"/>
    <xf numFmtId="0" fontId="2" fillId="3" borderId="86" xfId="0" applyFont="1" applyFill="1" applyBorder="1" applyAlignment="1">
      <alignment horizontal="center" vertical="center"/>
    </xf>
    <xf numFmtId="0" fontId="6" fillId="4" borderId="0" xfId="0" applyFont="1" applyFill="1" applyAlignment="1">
      <alignment vertical="center"/>
    </xf>
    <xf numFmtId="0" fontId="2" fillId="3" borderId="101" xfId="0" applyFont="1" applyFill="1" applyBorder="1" applyAlignment="1">
      <alignment horizontal="center" vertical="center"/>
    </xf>
    <xf numFmtId="0" fontId="53" fillId="3" borderId="86" xfId="0" applyFont="1" applyFill="1" applyBorder="1" applyAlignment="1">
      <alignment horizontal="center" vertical="center"/>
    </xf>
    <xf numFmtId="0" fontId="12" fillId="3" borderId="103" xfId="0" applyFont="1" applyFill="1" applyBorder="1" applyAlignment="1">
      <alignment horizontal="center" vertical="top"/>
    </xf>
    <xf numFmtId="0" fontId="2" fillId="3" borderId="20" xfId="0" applyFont="1" applyFill="1" applyBorder="1" applyAlignment="1">
      <alignment horizontal="center"/>
    </xf>
    <xf numFmtId="0" fontId="28" fillId="0" borderId="0" xfId="0" applyFont="1" applyAlignment="1">
      <alignment horizontal="center" vertical="center" wrapText="1"/>
    </xf>
    <xf numFmtId="0" fontId="0" fillId="0" borderId="104" xfId="0" applyBorder="1"/>
    <xf numFmtId="0" fontId="0" fillId="0" borderId="74" xfId="0" applyBorder="1"/>
    <xf numFmtId="0" fontId="0" fillId="0" borderId="106" xfId="0" applyBorder="1" applyAlignment="1">
      <alignment horizontal="center" vertical="center"/>
    </xf>
    <xf numFmtId="0" fontId="0" fillId="0" borderId="69" xfId="0" applyBorder="1" applyAlignment="1">
      <alignment horizontal="center" vertical="center"/>
    </xf>
    <xf numFmtId="0" fontId="0" fillId="0" borderId="76" xfId="0" applyBorder="1"/>
    <xf numFmtId="37" fontId="38" fillId="0" borderId="0" xfId="0" applyNumberFormat="1" applyFont="1" applyAlignment="1">
      <alignment horizontal="center" vertical="center"/>
    </xf>
    <xf numFmtId="0" fontId="38" fillId="0" borderId="75" xfId="0" applyFont="1" applyBorder="1" applyAlignment="1">
      <alignment horizontal="center" vertical="center"/>
    </xf>
    <xf numFmtId="168" fontId="50" fillId="0" borderId="75" xfId="0" applyNumberFormat="1" applyFont="1" applyBorder="1" applyAlignment="1">
      <alignment horizontal="center" vertical="center"/>
    </xf>
    <xf numFmtId="168" fontId="50" fillId="0" borderId="105" xfId="0" applyNumberFormat="1" applyFont="1" applyBorder="1" applyAlignment="1">
      <alignment horizontal="center" vertical="center"/>
    </xf>
    <xf numFmtId="0" fontId="39" fillId="0" borderId="108" xfId="0" applyFont="1" applyBorder="1" applyAlignment="1" applyProtection="1">
      <alignment vertical="center" wrapText="1"/>
      <protection locked="0"/>
    </xf>
    <xf numFmtId="0" fontId="39" fillId="0" borderId="108" xfId="0" applyFont="1" applyBorder="1" applyAlignment="1" applyProtection="1">
      <alignment wrapText="1"/>
      <protection locked="0"/>
    </xf>
    <xf numFmtId="0" fontId="0" fillId="0" borderId="27" xfId="0" applyBorder="1" applyAlignment="1" applyProtection="1">
      <alignment vertical="center"/>
      <protection locked="0"/>
    </xf>
    <xf numFmtId="0" fontId="38" fillId="0" borderId="27" xfId="0" applyFont="1" applyBorder="1" applyAlignment="1" applyProtection="1">
      <alignment vertical="center"/>
      <protection locked="0"/>
    </xf>
    <xf numFmtId="0" fontId="38" fillId="11" borderId="0" xfId="0" applyFont="1" applyFill="1" applyAlignment="1" applyProtection="1">
      <alignment vertical="center"/>
      <protection locked="0"/>
    </xf>
    <xf numFmtId="0" fontId="18" fillId="0" borderId="0" xfId="0" applyFont="1" applyAlignment="1" applyProtection="1">
      <alignment horizontal="left" vertical="center" wrapText="1" indent="2"/>
      <protection locked="0"/>
    </xf>
    <xf numFmtId="0" fontId="38" fillId="0" borderId="0" xfId="0" applyFont="1" applyAlignment="1">
      <alignment horizontal="left" vertical="top" wrapText="1"/>
    </xf>
    <xf numFmtId="0" fontId="38" fillId="0" borderId="0" xfId="0" applyFont="1" applyAlignment="1">
      <alignment horizontal="center" vertical="center" wrapText="1"/>
    </xf>
    <xf numFmtId="165" fontId="38" fillId="0" borderId="0" xfId="0" applyNumberFormat="1" applyFont="1" applyAlignment="1">
      <alignment horizontal="center" vertical="center"/>
    </xf>
    <xf numFmtId="0" fontId="0" fillId="0" borderId="109" xfId="0" applyBorder="1"/>
    <xf numFmtId="0" fontId="29" fillId="0" borderId="15" xfId="0" applyFont="1" applyBorder="1" applyAlignment="1">
      <alignment vertical="center" wrapText="1"/>
    </xf>
    <xf numFmtId="0" fontId="29" fillId="0" borderId="109" xfId="0" applyFont="1" applyBorder="1" applyAlignment="1">
      <alignment vertical="center" wrapText="1"/>
    </xf>
    <xf numFmtId="0" fontId="29" fillId="0" borderId="16" xfId="0" applyFont="1" applyBorder="1" applyAlignment="1">
      <alignment vertical="center" wrapText="1"/>
    </xf>
    <xf numFmtId="0" fontId="2" fillId="0" borderId="0" xfId="0" applyFont="1"/>
    <xf numFmtId="0" fontId="2" fillId="0" borderId="79" xfId="0" applyFont="1" applyBorder="1" applyAlignment="1">
      <alignment vertical="center" wrapText="1"/>
    </xf>
    <xf numFmtId="0" fontId="38" fillId="0" borderId="54" xfId="0" applyFont="1" applyBorder="1" applyAlignment="1">
      <alignment horizontal="center" vertical="center"/>
    </xf>
    <xf numFmtId="0" fontId="38" fillId="0" borderId="13" xfId="0" applyFont="1" applyBorder="1"/>
    <xf numFmtId="0" fontId="38" fillId="0" borderId="52" xfId="0" applyFont="1" applyBorder="1"/>
    <xf numFmtId="7" fontId="38" fillId="0" borderId="0" xfId="0" applyNumberFormat="1" applyFont="1" applyAlignment="1">
      <alignment horizontal="right"/>
    </xf>
    <xf numFmtId="7" fontId="38" fillId="0" borderId="0" xfId="0" applyNumberFormat="1" applyFont="1" applyAlignment="1">
      <alignment horizontal="right" indent="1"/>
    </xf>
    <xf numFmtId="14" fontId="38" fillId="0" borderId="0" xfId="0" applyNumberFormat="1" applyFont="1" applyAlignment="1">
      <alignment horizontal="center" vertical="center"/>
    </xf>
    <xf numFmtId="164" fontId="38" fillId="0" borderId="0" xfId="0" applyNumberFormat="1" applyFont="1" applyAlignment="1">
      <alignment horizontal="center" vertical="center"/>
    </xf>
    <xf numFmtId="164" fontId="43" fillId="0" borderId="54" xfId="0" applyNumberFormat="1" applyFont="1" applyBorder="1" applyAlignment="1">
      <alignment horizontal="center" vertical="center"/>
    </xf>
    <xf numFmtId="0" fontId="58" fillId="0" borderId="13" xfId="0" applyFont="1" applyBorder="1" applyAlignment="1">
      <alignment vertical="center" wrapText="1"/>
    </xf>
    <xf numFmtId="0" fontId="61" fillId="3" borderId="0" xfId="0" applyFont="1" applyFill="1" applyAlignment="1">
      <alignment horizontal="right"/>
    </xf>
    <xf numFmtId="0" fontId="26" fillId="3" borderId="0" xfId="0" applyFont="1" applyFill="1" applyAlignment="1">
      <alignment horizontal="left" vertical="top"/>
    </xf>
    <xf numFmtId="0" fontId="0" fillId="0" borderId="110" xfId="0" applyBorder="1"/>
    <xf numFmtId="0" fontId="38" fillId="0" borderId="0" xfId="0" applyFont="1" applyAlignment="1">
      <alignment horizontal="center"/>
    </xf>
    <xf numFmtId="0" fontId="35" fillId="0" borderId="52" xfId="0" applyFont="1" applyBorder="1"/>
    <xf numFmtId="0" fontId="26" fillId="3" borderId="74" xfId="0" applyFont="1" applyFill="1" applyBorder="1" applyAlignment="1">
      <alignment horizontal="left" vertical="top"/>
    </xf>
    <xf numFmtId="0" fontId="18" fillId="0" borderId="13" xfId="0" applyFont="1" applyBorder="1"/>
    <xf numFmtId="14" fontId="0" fillId="0" borderId="25" xfId="0" applyNumberFormat="1" applyBorder="1" applyAlignment="1" applyProtection="1">
      <alignment horizontal="center" vertical="center"/>
      <protection locked="0"/>
    </xf>
    <xf numFmtId="14" fontId="0" fillId="0" borderId="26" xfId="0" applyNumberFormat="1" applyBorder="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49" fontId="38" fillId="0" borderId="0" xfId="0" applyNumberFormat="1" applyFont="1" applyAlignment="1" applyProtection="1">
      <alignment horizontal="left" vertical="center" wrapText="1"/>
      <protection locked="0"/>
    </xf>
    <xf numFmtId="0" fontId="25" fillId="0" borderId="0" xfId="0" applyFont="1" applyAlignment="1">
      <alignment vertical="center" wrapText="1"/>
    </xf>
    <xf numFmtId="14" fontId="25" fillId="0" borderId="0" xfId="0" applyNumberFormat="1" applyFont="1" applyAlignment="1">
      <alignment horizontal="center" vertical="center"/>
    </xf>
    <xf numFmtId="164" fontId="25" fillId="11" borderId="0" xfId="0" applyNumberFormat="1" applyFont="1" applyFill="1" applyAlignment="1">
      <alignment horizontal="center" vertical="center"/>
    </xf>
    <xf numFmtId="0" fontId="56" fillId="8" borderId="68" xfId="0" applyFont="1" applyFill="1" applyBorder="1" applyAlignment="1">
      <alignment horizontal="left" vertical="center" indent="1"/>
    </xf>
    <xf numFmtId="0" fontId="56" fillId="8" borderId="63" xfId="0" applyFont="1" applyFill="1" applyBorder="1" applyAlignment="1">
      <alignment horizontal="left" vertical="center" indent="1"/>
    </xf>
    <xf numFmtId="0" fontId="0" fillId="0" borderId="0" xfId="0" applyAlignment="1">
      <alignment vertical="center"/>
    </xf>
    <xf numFmtId="0" fontId="48" fillId="0" borderId="13" xfId="0" applyFont="1" applyBorder="1" applyAlignment="1">
      <alignment horizontal="left" vertical="center"/>
    </xf>
    <xf numFmtId="0" fontId="49" fillId="0" borderId="13" xfId="0" applyFont="1" applyBorder="1" applyAlignment="1">
      <alignment horizontal="left"/>
    </xf>
    <xf numFmtId="0" fontId="47" fillId="0" borderId="13" xfId="0" applyFont="1" applyBorder="1" applyAlignment="1">
      <alignment horizontal="left"/>
    </xf>
    <xf numFmtId="0" fontId="0" fillId="0" borderId="0" xfId="0" applyAlignment="1">
      <alignment vertical="center" wrapText="1"/>
    </xf>
    <xf numFmtId="7" fontId="38" fillId="0" borderId="0" xfId="0" applyNumberFormat="1" applyFont="1" applyAlignment="1">
      <alignment horizontal="center" vertical="center" wrapText="1"/>
    </xf>
    <xf numFmtId="0" fontId="56" fillId="8" borderId="0" xfId="0" applyFont="1" applyFill="1" applyAlignment="1">
      <alignment horizontal="left" vertical="center" indent="1"/>
    </xf>
    <xf numFmtId="0" fontId="22" fillId="3" borderId="0" xfId="0" applyFont="1" applyFill="1" applyAlignment="1">
      <alignment horizontal="center" vertical="top" wrapText="1"/>
    </xf>
    <xf numFmtId="0" fontId="66" fillId="0" borderId="0" xfId="0" applyFont="1" applyAlignment="1">
      <alignment horizontal="center" vertical="center" wrapText="1"/>
    </xf>
    <xf numFmtId="0" fontId="66" fillId="0" borderId="110" xfId="0" applyFont="1" applyBorder="1" applyAlignment="1">
      <alignment horizontal="center"/>
    </xf>
    <xf numFmtId="0" fontId="66" fillId="0" borderId="110" xfId="0" applyFont="1" applyBorder="1"/>
    <xf numFmtId="0" fontId="66" fillId="0" borderId="0" xfId="0" applyFont="1" applyAlignment="1">
      <alignment vertical="center"/>
    </xf>
    <xf numFmtId="0" fontId="66" fillId="0" borderId="0" xfId="0" applyFont="1"/>
    <xf numFmtId="0" fontId="66" fillId="0" borderId="110" xfId="0" applyFont="1" applyBorder="1" applyAlignment="1">
      <alignment horizontal="center" vertical="center"/>
    </xf>
    <xf numFmtId="0" fontId="66" fillId="0" borderId="110" xfId="0" applyFont="1" applyBorder="1" applyAlignment="1">
      <alignment vertical="center"/>
    </xf>
    <xf numFmtId="0" fontId="65" fillId="0" borderId="0" xfId="0" applyFont="1"/>
    <xf numFmtId="0" fontId="66" fillId="0" borderId="0" xfId="0" applyFont="1" applyAlignment="1">
      <alignment horizontal="left" vertical="center" wrapText="1"/>
    </xf>
    <xf numFmtId="0" fontId="66" fillId="0" borderId="0" xfId="0" applyFont="1" applyAlignment="1">
      <alignment horizontal="center"/>
    </xf>
    <xf numFmtId="0" fontId="66" fillId="0" borderId="111" xfId="0" applyFont="1" applyBorder="1"/>
    <xf numFmtId="9" fontId="66" fillId="0" borderId="0" xfId="3" applyFont="1" applyAlignment="1">
      <alignment horizontal="center"/>
    </xf>
    <xf numFmtId="0" fontId="66" fillId="0" borderId="115" xfId="0" applyFont="1" applyBorder="1" applyAlignment="1">
      <alignment horizontal="left" vertical="center" wrapText="1"/>
    </xf>
    <xf numFmtId="0" fontId="66" fillId="0" borderId="118" xfId="0" applyFont="1" applyBorder="1" applyAlignment="1">
      <alignment horizontal="left" vertical="center" wrapText="1"/>
    </xf>
    <xf numFmtId="0" fontId="66" fillId="0" borderId="119" xfId="0" applyFont="1" applyBorder="1" applyAlignment="1">
      <alignment horizontal="center"/>
    </xf>
    <xf numFmtId="0" fontId="66" fillId="0" borderId="119" xfId="0" applyFont="1" applyBorder="1"/>
    <xf numFmtId="0" fontId="66" fillId="0" borderId="119" xfId="0" applyFont="1" applyBorder="1" applyAlignment="1">
      <alignment horizontal="center" vertical="center"/>
    </xf>
    <xf numFmtId="9" fontId="66" fillId="0" borderId="119" xfId="0" applyNumberFormat="1" applyFont="1" applyBorder="1" applyAlignment="1">
      <alignment horizontal="center" vertical="center"/>
    </xf>
    <xf numFmtId="171" fontId="64" fillId="0" borderId="123" xfId="0" applyNumberFormat="1" applyFont="1" applyBorder="1" applyAlignment="1">
      <alignment horizontal="center" vertical="center"/>
    </xf>
    <xf numFmtId="0" fontId="66" fillId="0" borderId="115" xfId="0" applyFont="1" applyBorder="1"/>
    <xf numFmtId="0" fontId="65" fillId="0" borderId="115" xfId="0" applyFont="1" applyBorder="1" applyAlignment="1">
      <alignment horizontal="left" vertical="center" wrapText="1"/>
    </xf>
    <xf numFmtId="0" fontId="66" fillId="0" borderId="111" xfId="0" applyFont="1" applyBorder="1" applyAlignment="1">
      <alignment horizontal="center" vertical="center"/>
    </xf>
    <xf numFmtId="0" fontId="66" fillId="0" borderId="111" xfId="0" applyFont="1" applyBorder="1" applyAlignment="1">
      <alignment vertical="center"/>
    </xf>
    <xf numFmtId="0" fontId="66" fillId="0" borderId="140" xfId="0" applyFont="1" applyBorder="1" applyAlignment="1">
      <alignment horizontal="center" vertical="center"/>
    </xf>
    <xf numFmtId="0" fontId="66" fillId="0" borderId="140" xfId="0" applyFont="1" applyBorder="1"/>
    <xf numFmtId="0" fontId="65" fillId="0" borderId="142" xfId="0" applyFont="1" applyBorder="1" applyAlignment="1">
      <alignment horizontal="center" vertical="center" wrapText="1"/>
    </xf>
    <xf numFmtId="0" fontId="65" fillId="0" borderId="143" xfId="0" applyFont="1" applyBorder="1" applyAlignment="1">
      <alignment horizontal="center" vertical="center" wrapText="1"/>
    </xf>
    <xf numFmtId="0" fontId="65" fillId="0" borderId="144" xfId="0" applyFont="1" applyBorder="1" applyAlignment="1">
      <alignment horizontal="center" vertical="center" wrapText="1"/>
    </xf>
    <xf numFmtId="0" fontId="66" fillId="0" borderId="146" xfId="0" applyFont="1" applyBorder="1" applyAlignment="1">
      <alignment horizontal="center"/>
    </xf>
    <xf numFmtId="0" fontId="66" fillId="0" borderId="146" xfId="0" applyFont="1" applyBorder="1"/>
    <xf numFmtId="0" fontId="66" fillId="0" borderId="151" xfId="0" applyFont="1" applyBorder="1" applyAlignment="1">
      <alignment horizontal="center"/>
    </xf>
    <xf numFmtId="0" fontId="66" fillId="0" borderId="151" xfId="0" applyFont="1" applyBorder="1"/>
    <xf numFmtId="0" fontId="66" fillId="0" borderId="146" xfId="0" applyFont="1" applyBorder="1" applyAlignment="1">
      <alignment horizontal="center" vertical="center"/>
    </xf>
    <xf numFmtId="0" fontId="66" fillId="0" borderId="146" xfId="0" applyFont="1" applyBorder="1" applyAlignment="1">
      <alignment vertical="center"/>
    </xf>
    <xf numFmtId="0" fontId="66" fillId="0" borderId="151" xfId="0" applyFont="1" applyBorder="1" applyAlignment="1">
      <alignment horizontal="center" vertical="center"/>
    </xf>
    <xf numFmtId="0" fontId="66" fillId="0" borderId="151" xfId="0" applyFont="1" applyBorder="1" applyAlignment="1">
      <alignment vertical="center"/>
    </xf>
    <xf numFmtId="0" fontId="66" fillId="0" borderId="140" xfId="0" applyFont="1" applyBorder="1" applyAlignment="1">
      <alignment vertical="center"/>
    </xf>
    <xf numFmtId="0" fontId="2" fillId="16" borderId="0" xfId="0" applyFont="1" applyFill="1"/>
    <xf numFmtId="0" fontId="2" fillId="17" borderId="0" xfId="0" applyFont="1" applyFill="1"/>
    <xf numFmtId="0" fontId="2" fillId="2" borderId="0" xfId="0" applyFont="1" applyFill="1"/>
    <xf numFmtId="164" fontId="0" fillId="0" borderId="0" xfId="0" applyNumberFormat="1" applyAlignment="1">
      <alignment horizontal="center" vertical="center"/>
    </xf>
    <xf numFmtId="0" fontId="18" fillId="18" borderId="0" xfId="0" applyFont="1" applyFill="1" applyAlignment="1">
      <alignment vertical="center"/>
    </xf>
    <xf numFmtId="0" fontId="18" fillId="0" borderId="0" xfId="0" applyFont="1" applyAlignment="1">
      <alignment vertical="center"/>
    </xf>
    <xf numFmtId="16" fontId="66" fillId="0" borderId="110" xfId="0" quotePrefix="1" applyNumberFormat="1" applyFont="1" applyBorder="1"/>
    <xf numFmtId="0" fontId="66" fillId="0" borderId="128" xfId="0" applyFont="1" applyBorder="1" applyAlignment="1">
      <alignment horizontal="center" vertical="center"/>
    </xf>
    <xf numFmtId="16" fontId="66" fillId="0" borderId="128" xfId="0" applyNumberFormat="1" applyFont="1" applyBorder="1"/>
    <xf numFmtId="0" fontId="66" fillId="0" borderId="140" xfId="0" applyFont="1" applyBorder="1" applyAlignment="1">
      <alignment horizontal="center"/>
    </xf>
    <xf numFmtId="0" fontId="66" fillId="0" borderId="111" xfId="0" applyFont="1" applyBorder="1" applyAlignment="1">
      <alignment horizontal="center"/>
    </xf>
    <xf numFmtId="0" fontId="0" fillId="0" borderId="52" xfId="0" applyBorder="1"/>
    <xf numFmtId="0" fontId="0" fillId="0" borderId="112" xfId="0" applyBorder="1"/>
    <xf numFmtId="0" fontId="18" fillId="0" borderId="0" xfId="0" applyFont="1" applyAlignment="1">
      <alignment horizontal="left" vertical="center"/>
    </xf>
    <xf numFmtId="0" fontId="0" fillId="18" borderId="0" xfId="0" applyFill="1" applyAlignment="1">
      <alignment wrapText="1"/>
    </xf>
    <xf numFmtId="0" fontId="0" fillId="0" borderId="52" xfId="0" applyBorder="1" applyAlignment="1">
      <alignment horizontal="left"/>
    </xf>
    <xf numFmtId="0" fontId="0" fillId="0" borderId="54" xfId="0" applyBorder="1" applyAlignment="1">
      <alignment horizontal="left"/>
    </xf>
    <xf numFmtId="0" fontId="0" fillId="0" borderId="0" xfId="0" applyAlignment="1">
      <alignment wrapText="1"/>
    </xf>
    <xf numFmtId="9" fontId="29" fillId="3" borderId="130" xfId="0" applyNumberFormat="1" applyFont="1" applyFill="1" applyBorder="1" applyAlignment="1">
      <alignment horizontal="center" vertical="center"/>
    </xf>
    <xf numFmtId="0" fontId="29" fillId="3" borderId="131" xfId="0" applyFont="1" applyFill="1" applyBorder="1" applyAlignment="1">
      <alignment horizontal="center" vertical="center"/>
    </xf>
    <xf numFmtId="0" fontId="29" fillId="3" borderId="132" xfId="0" applyFont="1" applyFill="1" applyBorder="1" applyAlignment="1">
      <alignment horizontal="center" vertical="center"/>
    </xf>
    <xf numFmtId="0" fontId="2" fillId="3" borderId="0" xfId="0" applyFont="1" applyFill="1" applyAlignment="1">
      <alignment horizontal="center"/>
    </xf>
    <xf numFmtId="166" fontId="62" fillId="3" borderId="133" xfId="0" applyNumberFormat="1" applyFont="1" applyFill="1" applyBorder="1" applyAlignment="1">
      <alignment horizontal="center" vertical="center"/>
    </xf>
    <xf numFmtId="166" fontId="62" fillId="3" borderId="0" xfId="0" applyNumberFormat="1" applyFont="1" applyFill="1" applyAlignment="1">
      <alignment horizontal="center" vertical="center"/>
    </xf>
    <xf numFmtId="166" fontId="62" fillId="3" borderId="134" xfId="0" applyNumberFormat="1" applyFont="1" applyFill="1" applyBorder="1" applyAlignment="1">
      <alignment horizontal="center" vertical="center"/>
    </xf>
    <xf numFmtId="166" fontId="62" fillId="3" borderId="135" xfId="0" applyNumberFormat="1" applyFont="1" applyFill="1" applyBorder="1" applyAlignment="1">
      <alignment horizontal="center" vertical="center"/>
    </xf>
    <xf numFmtId="166" fontId="62" fillId="3" borderId="136" xfId="0" applyNumberFormat="1" applyFont="1" applyFill="1" applyBorder="1" applyAlignment="1">
      <alignment horizontal="center" vertical="center"/>
    </xf>
    <xf numFmtId="166" fontId="62" fillId="3" borderId="137" xfId="0" applyNumberFormat="1" applyFont="1" applyFill="1" applyBorder="1" applyAlignment="1">
      <alignment horizontal="center" vertical="center"/>
    </xf>
    <xf numFmtId="0" fontId="2" fillId="3" borderId="93" xfId="0" applyFont="1" applyFill="1" applyBorder="1" applyAlignment="1">
      <alignment horizontal="left" vertical="center"/>
    </xf>
    <xf numFmtId="0" fontId="2" fillId="3" borderId="94" xfId="0" applyFont="1" applyFill="1" applyBorder="1" applyAlignment="1">
      <alignment horizontal="left" vertical="center"/>
    </xf>
    <xf numFmtId="0" fontId="2" fillId="3" borderId="95" xfId="0" applyFont="1" applyFill="1" applyBorder="1" applyAlignment="1">
      <alignment horizontal="left" vertical="center"/>
    </xf>
    <xf numFmtId="0" fontId="2" fillId="3" borderId="87" xfId="0" applyFont="1" applyFill="1" applyBorder="1" applyAlignment="1">
      <alignment horizontal="left" vertical="center"/>
    </xf>
    <xf numFmtId="0" fontId="2" fillId="3" borderId="88" xfId="0" applyFont="1" applyFill="1" applyBorder="1" applyAlignment="1">
      <alignment horizontal="left" vertical="center"/>
    </xf>
    <xf numFmtId="0" fontId="2" fillId="3" borderId="89" xfId="0" applyFont="1" applyFill="1" applyBorder="1" applyAlignment="1">
      <alignment horizontal="left" vertical="center"/>
    </xf>
    <xf numFmtId="0" fontId="2" fillId="3" borderId="90" xfId="0" applyFont="1" applyFill="1" applyBorder="1" applyAlignment="1">
      <alignment horizontal="left" vertical="center"/>
    </xf>
    <xf numFmtId="0" fontId="2" fillId="3" borderId="91" xfId="0" applyFont="1" applyFill="1" applyBorder="1" applyAlignment="1">
      <alignment horizontal="left" vertical="center"/>
    </xf>
    <xf numFmtId="0" fontId="2" fillId="3" borderId="92" xfId="0" applyFont="1" applyFill="1" applyBorder="1" applyAlignment="1">
      <alignment horizontal="left" vertical="center"/>
    </xf>
    <xf numFmtId="172" fontId="29" fillId="3" borderId="130" xfId="0" applyNumberFormat="1" applyFont="1" applyFill="1" applyBorder="1" applyAlignment="1">
      <alignment horizontal="center" vertical="center"/>
    </xf>
    <xf numFmtId="172" fontId="29" fillId="3" borderId="131" xfId="0" applyNumberFormat="1" applyFont="1" applyFill="1" applyBorder="1" applyAlignment="1">
      <alignment horizontal="center" vertical="center"/>
    </xf>
    <xf numFmtId="172" fontId="29" fillId="3" borderId="132" xfId="0" applyNumberFormat="1" applyFont="1" applyFill="1" applyBorder="1" applyAlignment="1">
      <alignment horizontal="center" vertical="center"/>
    </xf>
    <xf numFmtId="0" fontId="12" fillId="3" borderId="21" xfId="0" applyFont="1" applyFill="1" applyBorder="1" applyAlignment="1">
      <alignment horizontal="center" vertical="top"/>
    </xf>
    <xf numFmtId="0" fontId="12" fillId="3" borderId="0" xfId="0" applyFont="1" applyFill="1" applyAlignment="1">
      <alignment horizontal="center" vertical="top"/>
    </xf>
    <xf numFmtId="0" fontId="12" fillId="3" borderId="20" xfId="0" applyFont="1" applyFill="1" applyBorder="1" applyAlignment="1">
      <alignment horizontal="center" vertical="top"/>
    </xf>
    <xf numFmtId="3" fontId="13" fillId="3" borderId="0" xfId="1" applyNumberFormat="1" applyFont="1" applyFill="1" applyBorder="1" applyAlignment="1">
      <alignment horizontal="center" vertical="center"/>
    </xf>
    <xf numFmtId="0" fontId="9" fillId="3" borderId="0" xfId="0" applyFont="1" applyFill="1" applyAlignment="1">
      <alignment horizontal="center" vertical="center"/>
    </xf>
    <xf numFmtId="0" fontId="2" fillId="3" borderId="86" xfId="0" applyFont="1" applyFill="1" applyBorder="1" applyAlignment="1">
      <alignment horizontal="left" vertical="center"/>
    </xf>
    <xf numFmtId="0" fontId="53" fillId="3" borderId="93" xfId="0" applyFont="1" applyFill="1" applyBorder="1" applyAlignment="1">
      <alignment horizontal="center" vertical="center"/>
    </xf>
    <xf numFmtId="0" fontId="53" fillId="3" borderId="95" xfId="0" applyFont="1" applyFill="1" applyBorder="1" applyAlignment="1">
      <alignment horizontal="center" vertical="center"/>
    </xf>
    <xf numFmtId="0" fontId="21" fillId="3" borderId="44" xfId="0" applyFont="1" applyFill="1" applyBorder="1" applyAlignment="1">
      <alignment horizontal="left" vertical="center" wrapText="1"/>
    </xf>
    <xf numFmtId="0" fontId="21" fillId="3" borderId="45" xfId="0" applyFont="1" applyFill="1" applyBorder="1" applyAlignment="1">
      <alignment horizontal="left" vertical="center" wrapText="1"/>
    </xf>
    <xf numFmtId="0" fontId="21" fillId="3" borderId="46" xfId="0" applyFont="1" applyFill="1" applyBorder="1" applyAlignment="1">
      <alignment horizontal="left" vertical="center" wrapText="1"/>
    </xf>
    <xf numFmtId="0" fontId="21" fillId="3" borderId="47" xfId="0" applyFont="1" applyFill="1" applyBorder="1" applyAlignment="1">
      <alignment horizontal="left" vertical="center" wrapText="1"/>
    </xf>
    <xf numFmtId="0" fontId="21" fillId="3" borderId="48" xfId="0" applyFont="1" applyFill="1" applyBorder="1" applyAlignment="1">
      <alignment horizontal="left" vertical="center" wrapText="1"/>
    </xf>
    <xf numFmtId="0" fontId="21" fillId="3" borderId="49" xfId="0" applyFont="1" applyFill="1" applyBorder="1" applyAlignment="1">
      <alignment horizontal="left" vertical="center" wrapText="1"/>
    </xf>
    <xf numFmtId="0" fontId="21" fillId="3" borderId="44" xfId="0" applyFont="1" applyFill="1" applyBorder="1" applyAlignment="1">
      <alignment horizontal="center" vertical="center" wrapText="1"/>
    </xf>
    <xf numFmtId="0" fontId="21" fillId="3" borderId="45"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48" xfId="0" applyFont="1" applyFill="1" applyBorder="1" applyAlignment="1">
      <alignment horizontal="center" vertical="center" wrapText="1"/>
    </xf>
    <xf numFmtId="0" fontId="21" fillId="3" borderId="49" xfId="0" applyFont="1" applyFill="1" applyBorder="1" applyAlignment="1">
      <alignment horizontal="center" vertical="center" wrapText="1"/>
    </xf>
    <xf numFmtId="0" fontId="37" fillId="3" borderId="41" xfId="0" applyFont="1" applyFill="1" applyBorder="1" applyAlignment="1">
      <alignment horizontal="center" vertical="center" wrapText="1"/>
    </xf>
    <xf numFmtId="0" fontId="37" fillId="3" borderId="42" xfId="0" applyFont="1" applyFill="1" applyBorder="1" applyAlignment="1">
      <alignment horizontal="center" vertical="center" wrapText="1"/>
    </xf>
    <xf numFmtId="0" fontId="9" fillId="3" borderId="50" xfId="0" applyFont="1" applyFill="1" applyBorder="1" applyAlignment="1">
      <alignment horizontal="left" vertical="center" wrapText="1"/>
    </xf>
    <xf numFmtId="0" fontId="9" fillId="3" borderId="51" xfId="0" applyFont="1" applyFill="1" applyBorder="1" applyAlignment="1">
      <alignment horizontal="left" vertical="center" wrapText="1"/>
    </xf>
    <xf numFmtId="0" fontId="56" fillId="12" borderId="0" xfId="0" applyFont="1" applyFill="1" applyAlignment="1">
      <alignment vertical="center"/>
    </xf>
    <xf numFmtId="0" fontId="56" fillId="12" borderId="63" xfId="0" applyFont="1" applyFill="1" applyBorder="1" applyAlignment="1">
      <alignment vertical="center"/>
    </xf>
    <xf numFmtId="9" fontId="17" fillId="3" borderId="0" xfId="3" applyFont="1" applyFill="1" applyBorder="1" applyAlignment="1">
      <alignment horizontal="center" vertical="center"/>
    </xf>
    <xf numFmtId="0" fontId="22" fillId="3" borderId="84" xfId="0" applyFont="1" applyFill="1" applyBorder="1" applyAlignment="1">
      <alignment horizontal="center" vertical="top"/>
    </xf>
    <xf numFmtId="0" fontId="56" fillId="9" borderId="0" xfId="0" applyFont="1" applyFill="1" applyAlignment="1">
      <alignment horizontal="left" vertical="center" indent="1"/>
    </xf>
    <xf numFmtId="164" fontId="17" fillId="3" borderId="0" xfId="0" applyNumberFormat="1" applyFont="1" applyFill="1" applyAlignment="1">
      <alignment horizontal="center" vertical="center"/>
    </xf>
    <xf numFmtId="0" fontId="37" fillId="3" borderId="40" xfId="0" applyFont="1" applyFill="1" applyBorder="1" applyAlignment="1">
      <alignment horizontal="center"/>
    </xf>
    <xf numFmtId="0" fontId="37" fillId="3" borderId="40" xfId="0" applyFont="1" applyFill="1" applyBorder="1" applyAlignment="1">
      <alignment horizontal="center" vertical="center" wrapText="1"/>
    </xf>
    <xf numFmtId="0" fontId="21" fillId="3" borderId="55"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21" fillId="3" borderId="58" xfId="0" applyFont="1" applyFill="1" applyBorder="1" applyAlignment="1">
      <alignment horizontal="center" vertical="center" wrapText="1"/>
    </xf>
    <xf numFmtId="0" fontId="21" fillId="3" borderId="59" xfId="0" applyFont="1" applyFill="1" applyBorder="1" applyAlignment="1">
      <alignment horizontal="center" vertical="center" wrapText="1"/>
    </xf>
    <xf numFmtId="0" fontId="21" fillId="3" borderId="60" xfId="0" applyFont="1" applyFill="1" applyBorder="1" applyAlignment="1">
      <alignment horizontal="center" vertical="center" wrapText="1"/>
    </xf>
    <xf numFmtId="0" fontId="21" fillId="3" borderId="55" xfId="0" applyFont="1" applyFill="1" applyBorder="1" applyAlignment="1">
      <alignment horizontal="left" vertical="center"/>
    </xf>
    <xf numFmtId="0" fontId="21" fillId="3" borderId="57" xfId="0" applyFont="1" applyFill="1" applyBorder="1" applyAlignment="1">
      <alignment horizontal="left" vertical="center"/>
    </xf>
    <xf numFmtId="0" fontId="21" fillId="3" borderId="58" xfId="0" applyFont="1" applyFill="1" applyBorder="1" applyAlignment="1">
      <alignment horizontal="left" vertical="center"/>
    </xf>
    <xf numFmtId="0" fontId="21" fillId="3" borderId="60" xfId="0" applyFont="1" applyFill="1" applyBorder="1" applyAlignment="1">
      <alignment horizontal="left" vertical="center"/>
    </xf>
    <xf numFmtId="164" fontId="21" fillId="3" borderId="0" xfId="3" applyNumberFormat="1" applyFont="1" applyFill="1" applyBorder="1" applyAlignment="1">
      <alignment horizontal="right" vertical="center" indent="1"/>
    </xf>
    <xf numFmtId="9" fontId="31" fillId="3" borderId="35" xfId="3" applyFont="1" applyFill="1" applyBorder="1" applyAlignment="1">
      <alignment horizontal="center" vertical="center"/>
    </xf>
    <xf numFmtId="0" fontId="30" fillId="3" borderId="34" xfId="0" applyFont="1" applyFill="1" applyBorder="1" applyAlignment="1">
      <alignment horizontal="center" vertical="center"/>
    </xf>
    <xf numFmtId="0" fontId="21" fillId="3" borderId="55" xfId="0" applyFont="1" applyFill="1" applyBorder="1" applyAlignment="1">
      <alignment horizontal="left" vertical="center" wrapText="1"/>
    </xf>
    <xf numFmtId="0" fontId="21" fillId="3" borderId="56" xfId="0" applyFont="1" applyFill="1" applyBorder="1" applyAlignment="1">
      <alignment horizontal="left" vertical="center" wrapText="1"/>
    </xf>
    <xf numFmtId="0" fontId="21" fillId="3" borderId="57" xfId="0" applyFont="1" applyFill="1" applyBorder="1" applyAlignment="1">
      <alignment horizontal="left" vertical="center" wrapText="1"/>
    </xf>
    <xf numFmtId="0" fontId="21" fillId="3" borderId="58" xfId="0" applyFont="1" applyFill="1" applyBorder="1" applyAlignment="1">
      <alignment horizontal="left" vertical="center" wrapText="1"/>
    </xf>
    <xf numFmtId="0" fontId="21" fillId="3" borderId="59" xfId="0" applyFont="1" applyFill="1" applyBorder="1" applyAlignment="1">
      <alignment horizontal="left" vertical="center" wrapText="1"/>
    </xf>
    <xf numFmtId="0" fontId="21" fillId="3" borderId="60" xfId="0" applyFont="1" applyFill="1" applyBorder="1" applyAlignment="1">
      <alignment horizontal="left" vertical="center" wrapText="1"/>
    </xf>
    <xf numFmtId="0" fontId="40" fillId="3" borderId="50" xfId="0" applyFont="1" applyFill="1" applyBorder="1" applyAlignment="1">
      <alignment horizontal="center" vertical="center" wrapText="1"/>
    </xf>
    <xf numFmtId="0" fontId="40" fillId="3" borderId="51" xfId="0" applyFont="1" applyFill="1" applyBorder="1" applyAlignment="1">
      <alignment horizontal="center" vertical="center" wrapText="1"/>
    </xf>
    <xf numFmtId="0" fontId="40" fillId="3" borderId="44" xfId="0" applyFont="1" applyFill="1" applyBorder="1" applyAlignment="1">
      <alignment horizontal="center" vertical="center" wrapText="1"/>
    </xf>
    <xf numFmtId="0" fontId="40" fillId="3" borderId="45" xfId="0" applyFont="1" applyFill="1" applyBorder="1" applyAlignment="1">
      <alignment horizontal="center" vertical="center" wrapText="1"/>
    </xf>
    <xf numFmtId="0" fontId="40" fillId="3" borderId="46" xfId="0" applyFont="1" applyFill="1" applyBorder="1" applyAlignment="1">
      <alignment horizontal="center" vertical="center" wrapText="1"/>
    </xf>
    <xf numFmtId="0" fontId="40" fillId="3" borderId="47" xfId="0" applyFont="1" applyFill="1" applyBorder="1" applyAlignment="1">
      <alignment horizontal="center" vertical="center" wrapText="1"/>
    </xf>
    <xf numFmtId="0" fontId="40" fillId="3" borderId="48" xfId="0" applyFont="1" applyFill="1" applyBorder="1" applyAlignment="1">
      <alignment horizontal="center" vertical="center" wrapText="1"/>
    </xf>
    <xf numFmtId="0" fontId="40" fillId="3" borderId="49" xfId="0" applyFont="1" applyFill="1" applyBorder="1" applyAlignment="1">
      <alignment horizontal="center" vertical="center" wrapText="1"/>
    </xf>
    <xf numFmtId="0" fontId="32" fillId="3" borderId="0" xfId="0" applyFont="1" applyFill="1" applyAlignment="1">
      <alignment horizontal="center" wrapText="1"/>
    </xf>
    <xf numFmtId="0" fontId="56" fillId="6" borderId="1" xfId="0" applyFont="1" applyFill="1" applyBorder="1" applyAlignment="1">
      <alignment horizontal="left" vertical="center" indent="1"/>
    </xf>
    <xf numFmtId="0" fontId="56" fillId="6" borderId="0" xfId="0" applyFont="1" applyFill="1" applyAlignment="1">
      <alignment horizontal="left" vertical="center" indent="1"/>
    </xf>
    <xf numFmtId="0" fontId="56" fillId="6" borderId="63" xfId="0" applyFont="1" applyFill="1" applyBorder="1" applyAlignment="1">
      <alignment horizontal="left" vertical="center" indent="1"/>
    </xf>
    <xf numFmtId="0" fontId="56" fillId="7" borderId="0" xfId="0" applyFont="1" applyFill="1" applyAlignment="1">
      <alignment horizontal="left" vertical="center" indent="1"/>
    </xf>
    <xf numFmtId="0" fontId="56" fillId="7" borderId="17" xfId="0" applyFont="1" applyFill="1" applyBorder="1" applyAlignment="1">
      <alignment horizontal="left" vertical="center" indent="1"/>
    </xf>
    <xf numFmtId="0" fontId="56" fillId="5" borderId="0" xfId="0" applyFont="1" applyFill="1" applyAlignment="1">
      <alignment horizontal="left" vertical="center" indent="1"/>
    </xf>
    <xf numFmtId="0" fontId="56" fillId="5" borderId="2" xfId="0" applyFont="1" applyFill="1" applyBorder="1" applyAlignment="1">
      <alignment horizontal="left" vertical="center" indent="1"/>
    </xf>
    <xf numFmtId="0" fontId="34" fillId="3" borderId="36" xfId="0" applyFont="1" applyFill="1" applyBorder="1" applyAlignment="1">
      <alignment horizontal="center" vertical="center"/>
    </xf>
    <xf numFmtId="0" fontId="34" fillId="3" borderId="0" xfId="0" applyFont="1" applyFill="1" applyAlignment="1">
      <alignment horizontal="center" vertical="center"/>
    </xf>
    <xf numFmtId="0" fontId="34" fillId="3" borderId="32" xfId="0" applyFont="1" applyFill="1" applyBorder="1" applyAlignment="1">
      <alignment horizontal="center" vertical="center"/>
    </xf>
    <xf numFmtId="0" fontId="2" fillId="3" borderId="0" xfId="0" applyFont="1" applyFill="1" applyAlignment="1">
      <alignment horizontal="left" vertical="center" wrapText="1"/>
    </xf>
    <xf numFmtId="7" fontId="29" fillId="3" borderId="0" xfId="0" applyNumberFormat="1" applyFont="1" applyFill="1" applyAlignment="1">
      <alignment horizontal="center" vertical="center"/>
    </xf>
    <xf numFmtId="3" fontId="46" fillId="3" borderId="78" xfId="1" applyNumberFormat="1" applyFont="1" applyFill="1" applyBorder="1" applyAlignment="1">
      <alignment horizontal="center"/>
    </xf>
    <xf numFmtId="0" fontId="7" fillId="3" borderId="0" xfId="0" applyFont="1" applyFill="1" applyAlignment="1">
      <alignment horizontal="center" vertical="top"/>
    </xf>
    <xf numFmtId="0" fontId="4" fillId="3" borderId="0" xfId="0" applyFont="1" applyFill="1" applyAlignment="1">
      <alignment horizontal="left" vertical="top"/>
    </xf>
    <xf numFmtId="3" fontId="46" fillId="3" borderId="0" xfId="1" applyNumberFormat="1" applyFont="1" applyFill="1" applyBorder="1" applyAlignment="1">
      <alignment horizontal="center"/>
    </xf>
    <xf numFmtId="0" fontId="2" fillId="3" borderId="0" xfId="0" applyFont="1" applyFill="1" applyAlignment="1">
      <alignment horizontal="right" vertical="center"/>
    </xf>
    <xf numFmtId="0" fontId="22" fillId="3" borderId="84" xfId="0" applyFont="1" applyFill="1" applyBorder="1" applyAlignment="1">
      <alignment horizontal="center" vertical="top" wrapText="1"/>
    </xf>
    <xf numFmtId="0" fontId="2" fillId="3" borderId="0" xfId="0" applyFont="1" applyFill="1" applyAlignment="1">
      <alignment horizontal="right" vertical="center" wrapText="1" indent="2"/>
    </xf>
    <xf numFmtId="0" fontId="7" fillId="3" borderId="0" xfId="0" applyFont="1" applyFill="1" applyAlignment="1">
      <alignment horizontal="center" vertical="center"/>
    </xf>
    <xf numFmtId="0" fontId="26" fillId="3" borderId="61" xfId="0" applyFont="1" applyFill="1" applyBorder="1" applyAlignment="1">
      <alignment horizontal="center" vertical="top"/>
    </xf>
    <xf numFmtId="0" fontId="6" fillId="15" borderId="70" xfId="0" applyFont="1" applyFill="1" applyBorder="1" applyAlignment="1">
      <alignment vertical="center"/>
    </xf>
    <xf numFmtId="0" fontId="6" fillId="15" borderId="62" xfId="0" applyFont="1" applyFill="1" applyBorder="1" applyAlignment="1">
      <alignment vertical="center"/>
    </xf>
    <xf numFmtId="0" fontId="6" fillId="15" borderId="76" xfId="0" applyFont="1" applyFill="1" applyBorder="1" applyAlignment="1">
      <alignment vertical="center"/>
    </xf>
    <xf numFmtId="0" fontId="2" fillId="3" borderId="68" xfId="0" applyFont="1" applyFill="1" applyBorder="1" applyAlignment="1">
      <alignment vertical="top" wrapText="1"/>
    </xf>
    <xf numFmtId="0" fontId="2" fillId="3" borderId="0" xfId="0" applyFont="1" applyFill="1" applyAlignment="1">
      <alignment vertical="top" wrapText="1"/>
    </xf>
    <xf numFmtId="8" fontId="27" fillId="3" borderId="0" xfId="2" applyNumberFormat="1" applyFont="1" applyFill="1" applyBorder="1" applyAlignment="1">
      <alignment horizontal="center" vertical="center"/>
    </xf>
    <xf numFmtId="8" fontId="27" fillId="3" borderId="63" xfId="2" applyNumberFormat="1" applyFont="1" applyFill="1" applyBorder="1" applyAlignment="1">
      <alignment horizontal="center" vertical="center"/>
    </xf>
    <xf numFmtId="7" fontId="2" fillId="3" borderId="0" xfId="0" applyNumberFormat="1" applyFont="1" applyFill="1" applyAlignment="1">
      <alignment horizontal="left"/>
    </xf>
    <xf numFmtId="0" fontId="2" fillId="3" borderId="63" xfId="0" applyFont="1" applyFill="1" applyBorder="1" applyAlignment="1">
      <alignment horizontal="left"/>
    </xf>
    <xf numFmtId="0" fontId="53" fillId="3" borderId="86" xfId="0" applyFont="1" applyFill="1" applyBorder="1" applyAlignment="1">
      <alignment horizontal="center" vertical="center"/>
    </xf>
    <xf numFmtId="0" fontId="53" fillId="3" borderId="94" xfId="0" applyFont="1" applyFill="1" applyBorder="1" applyAlignment="1">
      <alignment horizontal="center" vertical="center"/>
    </xf>
    <xf numFmtId="0" fontId="57" fillId="3" borderId="79" xfId="0" applyFont="1" applyFill="1" applyBorder="1" applyAlignment="1">
      <alignment horizontal="center" vertical="center" wrapText="1"/>
    </xf>
    <xf numFmtId="0" fontId="2" fillId="3" borderId="86" xfId="0" applyFont="1" applyFill="1" applyBorder="1" applyAlignment="1">
      <alignment horizontal="center" vertical="center"/>
    </xf>
    <xf numFmtId="0" fontId="56" fillId="4" borderId="68" xfId="0" applyFont="1" applyFill="1" applyBorder="1" applyAlignment="1">
      <alignment vertical="center"/>
    </xf>
    <xf numFmtId="0" fontId="56" fillId="4" borderId="0" xfId="0" applyFont="1" applyFill="1" applyAlignment="1">
      <alignment vertical="center"/>
    </xf>
    <xf numFmtId="0" fontId="56" fillId="4" borderId="63" xfId="0" applyFont="1" applyFill="1" applyBorder="1" applyAlignment="1">
      <alignment vertical="center"/>
    </xf>
    <xf numFmtId="0" fontId="57" fillId="3" borderId="98" xfId="0" applyFont="1" applyFill="1" applyBorder="1" applyAlignment="1">
      <alignment horizontal="center" vertical="center" wrapText="1"/>
    </xf>
    <xf numFmtId="0" fontId="57" fillId="3" borderId="99" xfId="0" applyFont="1" applyFill="1" applyBorder="1" applyAlignment="1">
      <alignment horizontal="center" vertical="center" wrapText="1"/>
    </xf>
    <xf numFmtId="0" fontId="57" fillId="3" borderId="100" xfId="0" applyFont="1" applyFill="1" applyBorder="1" applyAlignment="1">
      <alignment horizontal="center" vertical="center" wrapText="1"/>
    </xf>
    <xf numFmtId="0" fontId="57" fillId="3" borderId="82" xfId="0" applyFont="1" applyFill="1" applyBorder="1" applyAlignment="1">
      <alignment horizontal="center" vertical="center" wrapText="1"/>
    </xf>
    <xf numFmtId="0" fontId="57" fillId="3" borderId="77" xfId="0" applyFont="1" applyFill="1" applyBorder="1" applyAlignment="1">
      <alignment horizontal="center" vertical="center" wrapText="1"/>
    </xf>
    <xf numFmtId="0" fontId="57" fillId="3" borderId="83" xfId="0" applyFont="1" applyFill="1" applyBorder="1" applyAlignment="1">
      <alignment horizontal="center"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96" xfId="0" applyFont="1" applyFill="1" applyBorder="1" applyAlignment="1">
      <alignment horizontal="left" vertical="center" wrapText="1"/>
    </xf>
    <xf numFmtId="0" fontId="2" fillId="3" borderId="61" xfId="0" applyFont="1" applyFill="1" applyBorder="1" applyAlignment="1">
      <alignment horizontal="left" vertical="center" wrapText="1"/>
    </xf>
    <xf numFmtId="0" fontId="2" fillId="3" borderId="97" xfId="0" applyFont="1" applyFill="1" applyBorder="1" applyAlignment="1">
      <alignment horizontal="left" vertical="center" wrapText="1"/>
    </xf>
    <xf numFmtId="0" fontId="2" fillId="3" borderId="0" xfId="0" applyFont="1" applyFill="1" applyAlignment="1">
      <alignment horizontal="center" wrapText="1"/>
    </xf>
    <xf numFmtId="14" fontId="2" fillId="3" borderId="0" xfId="0" applyNumberFormat="1" applyFont="1" applyFill="1" applyAlignment="1">
      <alignment horizontal="right" vertical="center" indent="1"/>
    </xf>
    <xf numFmtId="14" fontId="2" fillId="3" borderId="0" xfId="0" applyNumberFormat="1" applyFont="1" applyFill="1" applyAlignment="1">
      <alignment horizontal="left" vertical="center" indent="1"/>
    </xf>
    <xf numFmtId="164" fontId="9" fillId="3" borderId="0" xfId="3" applyNumberFormat="1" applyFont="1" applyFill="1" applyBorder="1" applyAlignment="1">
      <alignment horizontal="center" vertical="center"/>
    </xf>
    <xf numFmtId="0" fontId="33" fillId="0" borderId="35" xfId="0" applyFont="1" applyBorder="1" applyAlignment="1">
      <alignment horizontal="center" vertical="center" wrapText="1"/>
    </xf>
    <xf numFmtId="0" fontId="33" fillId="0" borderId="0" xfId="0" applyFont="1" applyAlignment="1">
      <alignment horizontal="center" vertical="center" wrapText="1"/>
    </xf>
    <xf numFmtId="0" fontId="33" fillId="0" borderId="34" xfId="0" applyFont="1" applyBorder="1" applyAlignment="1">
      <alignment horizontal="center" vertical="center" wrapText="1"/>
    </xf>
    <xf numFmtId="167" fontId="53" fillId="3" borderId="0" xfId="0" applyNumberFormat="1" applyFont="1" applyFill="1" applyAlignment="1">
      <alignment horizontal="center" vertical="center"/>
    </xf>
    <xf numFmtId="0" fontId="54" fillId="3" borderId="0" xfId="0" applyFont="1" applyFill="1" applyAlignment="1">
      <alignment horizontal="center" vertical="center" wrapText="1"/>
    </xf>
    <xf numFmtId="0" fontId="2" fillId="3" borderId="87" xfId="0" applyFont="1" applyFill="1" applyBorder="1" applyAlignment="1">
      <alignment horizontal="center" vertical="center"/>
    </xf>
    <xf numFmtId="0" fontId="2" fillId="3" borderId="88" xfId="0" applyFont="1" applyFill="1" applyBorder="1" applyAlignment="1">
      <alignment horizontal="center" vertical="center"/>
    </xf>
    <xf numFmtId="0" fontId="2" fillId="3" borderId="89" xfId="0" applyFont="1" applyFill="1" applyBorder="1" applyAlignment="1">
      <alignment horizontal="center" vertical="center"/>
    </xf>
    <xf numFmtId="0" fontId="2" fillId="3" borderId="90" xfId="0" applyFont="1" applyFill="1" applyBorder="1" applyAlignment="1">
      <alignment horizontal="center" vertical="center"/>
    </xf>
    <xf numFmtId="0" fontId="2" fillId="3" borderId="91" xfId="0" applyFont="1" applyFill="1" applyBorder="1" applyAlignment="1">
      <alignment horizontal="center" vertical="center"/>
    </xf>
    <xf numFmtId="0" fontId="2" fillId="3" borderId="92" xfId="0" applyFont="1" applyFill="1" applyBorder="1" applyAlignment="1">
      <alignment horizontal="center" vertical="center"/>
    </xf>
    <xf numFmtId="0" fontId="2" fillId="3" borderId="101" xfId="0" applyFont="1" applyFill="1" applyBorder="1" applyAlignment="1">
      <alignment horizontal="center" vertical="center"/>
    </xf>
    <xf numFmtId="0" fontId="2" fillId="3" borderId="102" xfId="0" applyFont="1" applyFill="1" applyBorder="1" applyAlignment="1">
      <alignment horizontal="center" vertical="center"/>
    </xf>
    <xf numFmtId="0" fontId="2" fillId="3" borderId="71" xfId="0" applyFont="1" applyFill="1" applyBorder="1" applyAlignment="1">
      <alignment horizontal="left" vertical="center" wrapText="1"/>
    </xf>
    <xf numFmtId="0" fontId="2" fillId="3" borderId="63" xfId="0" applyFont="1" applyFill="1" applyBorder="1" applyAlignment="1">
      <alignment horizontal="left" vertical="center" wrapText="1"/>
    </xf>
    <xf numFmtId="0" fontId="2" fillId="3" borderId="74" xfId="0" applyFont="1" applyFill="1" applyBorder="1" applyAlignment="1">
      <alignment horizontal="left" vertical="center" wrapText="1"/>
    </xf>
    <xf numFmtId="2" fontId="59" fillId="3" borderId="0" xfId="3" applyNumberFormat="1" applyFont="1" applyFill="1" applyBorder="1" applyAlignment="1">
      <alignment horizontal="center"/>
    </xf>
    <xf numFmtId="2" fontId="59" fillId="3" borderId="107" xfId="3" applyNumberFormat="1" applyFont="1" applyFill="1" applyBorder="1" applyAlignment="1">
      <alignment horizontal="center"/>
    </xf>
    <xf numFmtId="0" fontId="2" fillId="3" borderId="80" xfId="0" applyFont="1" applyFill="1" applyBorder="1" applyAlignment="1">
      <alignment horizontal="center" vertical="center" wrapText="1"/>
    </xf>
    <xf numFmtId="0" fontId="2" fillId="3" borderId="81" xfId="0" applyFont="1" applyFill="1" applyBorder="1" applyAlignment="1">
      <alignment horizontal="center" vertical="center" wrapText="1"/>
    </xf>
    <xf numFmtId="0" fontId="2" fillId="3" borderId="82" xfId="0" applyFont="1" applyFill="1" applyBorder="1" applyAlignment="1">
      <alignment horizontal="center" vertical="center" wrapText="1"/>
    </xf>
    <xf numFmtId="0" fontId="2" fillId="3" borderId="83" xfId="0" applyFont="1" applyFill="1" applyBorder="1" applyAlignment="1">
      <alignment horizontal="center" vertical="center" wrapText="1"/>
    </xf>
    <xf numFmtId="0" fontId="2" fillId="3" borderId="80" xfId="0" applyFont="1" applyFill="1" applyBorder="1" applyAlignment="1">
      <alignment horizontal="left" vertical="center" wrapText="1"/>
    </xf>
    <xf numFmtId="0" fontId="2" fillId="3" borderId="78" xfId="0" applyFont="1" applyFill="1" applyBorder="1" applyAlignment="1">
      <alignment horizontal="left" vertical="center" wrapText="1"/>
    </xf>
    <xf numFmtId="0" fontId="2" fillId="3" borderId="81" xfId="0" applyFont="1" applyFill="1" applyBorder="1" applyAlignment="1">
      <alignment horizontal="left" vertical="center" wrapText="1"/>
    </xf>
    <xf numFmtId="0" fontId="2" fillId="3" borderId="82" xfId="0" applyFont="1" applyFill="1" applyBorder="1" applyAlignment="1">
      <alignment horizontal="left" vertical="center" wrapText="1"/>
    </xf>
    <xf numFmtId="0" fontId="2" fillId="3" borderId="77" xfId="0" applyFont="1" applyFill="1" applyBorder="1" applyAlignment="1">
      <alignment horizontal="left" vertical="center" wrapText="1"/>
    </xf>
    <xf numFmtId="0" fontId="2" fillId="3" borderId="83" xfId="0" applyFont="1" applyFill="1" applyBorder="1" applyAlignment="1">
      <alignment horizontal="left" vertical="center" wrapText="1"/>
    </xf>
    <xf numFmtId="170" fontId="46" fillId="3" borderId="78" xfId="1" applyNumberFormat="1" applyFont="1" applyFill="1" applyBorder="1" applyAlignment="1">
      <alignment horizontal="center"/>
    </xf>
    <xf numFmtId="0" fontId="7" fillId="3" borderId="77" xfId="0" applyFont="1" applyFill="1" applyBorder="1" applyAlignment="1">
      <alignment horizontal="center" vertical="top"/>
    </xf>
    <xf numFmtId="0" fontId="36" fillId="11" borderId="0" xfId="0" applyFont="1" applyFill="1" applyAlignment="1">
      <alignment horizontal="left"/>
    </xf>
    <xf numFmtId="0" fontId="39" fillId="0" borderId="27" xfId="0" applyFont="1" applyBorder="1" applyAlignment="1" applyProtection="1">
      <alignment horizontal="left" vertical="center" wrapText="1"/>
      <protection locked="0"/>
    </xf>
    <xf numFmtId="0" fontId="39" fillId="0" borderId="0" xfId="0" applyFont="1" applyAlignment="1" applyProtection="1">
      <alignment horizontal="left" vertical="center" wrapText="1"/>
      <protection locked="0"/>
    </xf>
    <xf numFmtId="0" fontId="39" fillId="0" borderId="43" xfId="0" applyFont="1" applyBorder="1" applyAlignment="1" applyProtection="1">
      <alignment horizontal="left" vertical="center" wrapText="1"/>
      <protection locked="0"/>
    </xf>
    <xf numFmtId="0" fontId="0" fillId="0" borderId="13" xfId="0" applyBorder="1" applyAlignment="1" applyProtection="1">
      <alignment vertical="top" wrapText="1"/>
      <protection locked="0"/>
    </xf>
    <xf numFmtId="0" fontId="24" fillId="0" borderId="25" xfId="0" applyFont="1" applyBorder="1" applyAlignment="1" applyProtection="1">
      <alignment horizontal="center"/>
      <protection locked="0"/>
    </xf>
    <xf numFmtId="0" fontId="19" fillId="11" borderId="0" xfId="0" applyFont="1" applyFill="1" applyAlignment="1" applyProtection="1">
      <alignment horizontal="center"/>
      <protection locked="0"/>
    </xf>
    <xf numFmtId="0" fontId="38" fillId="0" borderId="13" xfId="0" applyFont="1" applyBorder="1" applyAlignment="1" applyProtection="1">
      <alignment horizontal="right"/>
      <protection locked="0"/>
    </xf>
    <xf numFmtId="0" fontId="0" fillId="0" borderId="0" xfId="0" applyAlignment="1">
      <alignment horizontal="center" vertical="center" wrapText="1"/>
    </xf>
    <xf numFmtId="0" fontId="2" fillId="0" borderId="13" xfId="0" applyFont="1" applyBorder="1" applyAlignment="1">
      <alignment vertical="top" wrapText="1"/>
    </xf>
    <xf numFmtId="0" fontId="52" fillId="11" borderId="13" xfId="0" applyFont="1" applyFill="1" applyBorder="1" applyAlignment="1">
      <alignment horizontal="center"/>
    </xf>
    <xf numFmtId="0" fontId="60" fillId="3" borderId="13" xfId="0" applyFont="1" applyFill="1" applyBorder="1" applyAlignment="1">
      <alignment vertical="center"/>
    </xf>
    <xf numFmtId="0" fontId="51" fillId="0" borderId="13" xfId="0" applyFont="1" applyBorder="1" applyAlignment="1">
      <alignment vertical="center"/>
    </xf>
    <xf numFmtId="166" fontId="63" fillId="0" borderId="0" xfId="3" applyNumberFormat="1" applyFont="1" applyAlignment="1">
      <alignment horizontal="left" wrapText="1"/>
    </xf>
    <xf numFmtId="0" fontId="39" fillId="18" borderId="110" xfId="0" applyFont="1" applyFill="1" applyBorder="1" applyAlignment="1" applyProtection="1">
      <alignment horizontal="center" vertical="center"/>
      <protection locked="0"/>
    </xf>
    <xf numFmtId="0" fontId="39" fillId="18" borderId="116" xfId="0" applyFont="1" applyFill="1" applyBorder="1" applyAlignment="1" applyProtection="1">
      <alignment horizontal="center" vertical="center"/>
      <protection locked="0"/>
    </xf>
    <xf numFmtId="0" fontId="39" fillId="18" borderId="111" xfId="0" applyFont="1" applyFill="1" applyBorder="1" applyAlignment="1" applyProtection="1">
      <alignment horizontal="center" vertical="center"/>
      <protection locked="0"/>
    </xf>
    <xf numFmtId="0" fontId="39" fillId="18" borderId="117" xfId="0" applyFont="1" applyFill="1" applyBorder="1" applyAlignment="1" applyProtection="1">
      <alignment horizontal="center" vertical="center"/>
      <protection locked="0"/>
    </xf>
    <xf numFmtId="0" fontId="65" fillId="0" borderId="110" xfId="0" applyFont="1" applyBorder="1" applyAlignment="1">
      <alignment horizontal="center" vertical="center"/>
    </xf>
    <xf numFmtId="0" fontId="65" fillId="0" borderId="116" xfId="0" applyFont="1" applyBorder="1" applyAlignment="1">
      <alignment horizontal="center" vertical="center"/>
    </xf>
    <xf numFmtId="171" fontId="64" fillId="0" borderId="113" xfId="0" applyNumberFormat="1" applyFont="1" applyBorder="1" applyAlignment="1">
      <alignment horizontal="center" vertical="center"/>
    </xf>
    <xf numFmtId="171" fontId="64" fillId="0" borderId="114" xfId="0" applyNumberFormat="1" applyFont="1" applyBorder="1" applyAlignment="1">
      <alignment horizontal="center" vertical="center"/>
    </xf>
    <xf numFmtId="0" fontId="65" fillId="0" borderId="124" xfId="0" applyFont="1" applyBorder="1" applyAlignment="1">
      <alignment horizontal="center"/>
    </xf>
    <xf numFmtId="0" fontId="65" fillId="0" borderId="125" xfId="0" applyFont="1" applyBorder="1" applyAlignment="1">
      <alignment horizontal="center"/>
    </xf>
    <xf numFmtId="0" fontId="65" fillId="0" borderId="126" xfId="0" applyFont="1" applyBorder="1" applyAlignment="1">
      <alignment horizontal="center"/>
    </xf>
    <xf numFmtId="0" fontId="39" fillId="18" borderId="110" xfId="0" applyFont="1" applyFill="1" applyBorder="1" applyAlignment="1" applyProtection="1">
      <alignment horizontal="left"/>
      <protection locked="0"/>
    </xf>
    <xf numFmtId="0" fontId="39" fillId="18" borderId="116" xfId="0" applyFont="1" applyFill="1" applyBorder="1" applyAlignment="1" applyProtection="1">
      <alignment horizontal="left"/>
      <protection locked="0"/>
    </xf>
    <xf numFmtId="166" fontId="66" fillId="0" borderId="141" xfId="3" applyNumberFormat="1" applyFont="1" applyFill="1" applyBorder="1" applyAlignment="1">
      <alignment horizontal="center" vertical="center" wrapText="1"/>
    </xf>
    <xf numFmtId="166" fontId="66" fillId="0" borderId="116" xfId="3" applyNumberFormat="1" applyFont="1" applyFill="1" applyBorder="1" applyAlignment="1">
      <alignment horizontal="center" vertical="center" wrapText="1"/>
    </xf>
    <xf numFmtId="166" fontId="66" fillId="0" borderId="129" xfId="3" applyNumberFormat="1" applyFont="1" applyFill="1" applyBorder="1" applyAlignment="1">
      <alignment horizontal="center" vertical="center" wrapText="1"/>
    </xf>
    <xf numFmtId="0" fontId="65" fillId="0" borderId="120" xfId="0" applyFont="1" applyBorder="1" applyAlignment="1">
      <alignment horizontal="center"/>
    </xf>
    <xf numFmtId="0" fontId="65" fillId="0" borderId="121" xfId="0" applyFont="1" applyBorder="1" applyAlignment="1">
      <alignment horizontal="center"/>
    </xf>
    <xf numFmtId="0" fontId="65" fillId="0" borderId="122" xfId="0" applyFont="1" applyBorder="1" applyAlignment="1">
      <alignment horizontal="center"/>
    </xf>
    <xf numFmtId="0" fontId="66" fillId="0" borderId="0" xfId="0" applyFont="1" applyAlignment="1">
      <alignment horizontal="center" vertical="center" wrapText="1"/>
    </xf>
    <xf numFmtId="9" fontId="66" fillId="0" borderId="140" xfId="3" applyFont="1" applyBorder="1" applyAlignment="1">
      <alignment horizontal="center" vertical="center" wrapText="1"/>
    </xf>
    <xf numFmtId="9" fontId="66" fillId="0" borderId="110" xfId="3" applyFont="1" applyBorder="1" applyAlignment="1">
      <alignment horizontal="center" vertical="center" wrapText="1"/>
    </xf>
    <xf numFmtId="9" fontId="66" fillId="0" borderId="111" xfId="3" applyFont="1" applyBorder="1" applyAlignment="1">
      <alignment horizontal="center" vertical="center" wrapText="1"/>
    </xf>
    <xf numFmtId="9" fontId="66" fillId="0" borderId="140" xfId="3" applyFont="1" applyFill="1" applyBorder="1" applyAlignment="1">
      <alignment horizontal="center" vertical="center" wrapText="1"/>
    </xf>
    <xf numFmtId="9" fontId="66" fillId="0" borderId="110" xfId="3" applyFont="1" applyFill="1" applyBorder="1" applyAlignment="1">
      <alignment horizontal="center" vertical="center" wrapText="1"/>
    </xf>
    <xf numFmtId="9" fontId="66" fillId="0" borderId="128" xfId="3" applyFont="1" applyFill="1" applyBorder="1" applyAlignment="1">
      <alignment horizontal="center" vertical="center" wrapText="1"/>
    </xf>
    <xf numFmtId="166" fontId="66" fillId="0" borderId="147" xfId="3" applyNumberFormat="1" applyFont="1" applyBorder="1" applyAlignment="1">
      <alignment horizontal="center" vertical="center" wrapText="1"/>
    </xf>
    <xf numFmtId="166" fontId="66" fillId="0" borderId="149" xfId="3" applyNumberFormat="1" applyFont="1" applyBorder="1" applyAlignment="1">
      <alignment horizontal="center" vertical="center" wrapText="1"/>
    </xf>
    <xf numFmtId="166" fontId="66" fillId="0" borderId="152" xfId="3" applyNumberFormat="1" applyFont="1" applyBorder="1" applyAlignment="1">
      <alignment horizontal="center" vertical="center" wrapText="1"/>
    </xf>
    <xf numFmtId="166" fontId="66" fillId="0" borderId="117" xfId="3" applyNumberFormat="1" applyFont="1" applyFill="1" applyBorder="1" applyAlignment="1">
      <alignment horizontal="center" vertical="center" wrapText="1"/>
    </xf>
    <xf numFmtId="166" fontId="66" fillId="0" borderId="141" xfId="3" applyNumberFormat="1" applyFont="1" applyBorder="1" applyAlignment="1">
      <alignment horizontal="center" vertical="center" wrapText="1"/>
    </xf>
    <xf numFmtId="166" fontId="66" fillId="0" borderId="116" xfId="3" applyNumberFormat="1" applyFont="1" applyBorder="1" applyAlignment="1">
      <alignment horizontal="center" vertical="center" wrapText="1"/>
    </xf>
    <xf numFmtId="166" fontId="66" fillId="0" borderId="117" xfId="3" applyNumberFormat="1" applyFont="1" applyBorder="1" applyAlignment="1">
      <alignment horizontal="center" vertical="center" wrapText="1"/>
    </xf>
    <xf numFmtId="0" fontId="65" fillId="0" borderId="146" xfId="0" applyFont="1" applyBorder="1" applyAlignment="1">
      <alignment horizontal="center" vertical="center" wrapText="1"/>
    </xf>
    <xf numFmtId="0" fontId="65" fillId="0" borderId="110" xfId="0" applyFont="1" applyBorder="1" applyAlignment="1">
      <alignment horizontal="center" vertical="center" wrapText="1"/>
    </xf>
    <xf numFmtId="0" fontId="65" fillId="0" borderId="151" xfId="0" applyFont="1" applyBorder="1" applyAlignment="1">
      <alignment horizontal="center" vertical="center" wrapText="1"/>
    </xf>
    <xf numFmtId="0" fontId="39" fillId="18" borderId="140" xfId="0" applyFont="1" applyFill="1" applyBorder="1" applyAlignment="1" applyProtection="1">
      <alignment horizontal="center" vertical="center" wrapText="1"/>
      <protection locked="0"/>
    </xf>
    <xf numFmtId="0" fontId="39" fillId="18" borderId="110" xfId="0" applyFont="1" applyFill="1" applyBorder="1" applyAlignment="1" applyProtection="1">
      <alignment horizontal="center" vertical="center" wrapText="1"/>
      <protection locked="0"/>
    </xf>
    <xf numFmtId="0" fontId="39" fillId="18" borderId="128" xfId="0" applyFont="1" applyFill="1" applyBorder="1" applyAlignment="1" applyProtection="1">
      <alignment horizontal="center" vertical="center" wrapText="1"/>
      <protection locked="0"/>
    </xf>
    <xf numFmtId="9" fontId="66" fillId="0" borderId="146" xfId="3" applyFont="1" applyBorder="1" applyAlignment="1">
      <alignment horizontal="center" vertical="center" wrapText="1"/>
    </xf>
    <xf numFmtId="9" fontId="66" fillId="0" borderId="151" xfId="3" applyFont="1" applyBorder="1" applyAlignment="1">
      <alignment horizontal="center" vertical="center" wrapText="1"/>
    </xf>
    <xf numFmtId="9" fontId="66" fillId="0" borderId="111" xfId="3" applyFont="1" applyFill="1" applyBorder="1" applyAlignment="1">
      <alignment horizontal="center" vertical="center" wrapText="1"/>
    </xf>
    <xf numFmtId="0" fontId="66" fillId="0" borderId="145" xfId="0" applyFont="1" applyBorder="1" applyAlignment="1">
      <alignment horizontal="left" vertical="center" wrapText="1"/>
    </xf>
    <xf numFmtId="0" fontId="66" fillId="0" borderId="148" xfId="0" applyFont="1" applyBorder="1" applyAlignment="1">
      <alignment horizontal="left" vertical="center" wrapText="1"/>
    </xf>
    <xf numFmtId="0" fontId="66" fillId="0" borderId="150" xfId="0" applyFont="1" applyBorder="1" applyAlignment="1">
      <alignment horizontal="left" vertical="center" wrapText="1"/>
    </xf>
    <xf numFmtId="0" fontId="66" fillId="0" borderId="139" xfId="0" applyFont="1" applyBorder="1" applyAlignment="1">
      <alignment horizontal="left" vertical="center" wrapText="1"/>
    </xf>
    <xf numFmtId="0" fontId="66" fillId="0" borderId="115" xfId="0" applyFont="1" applyBorder="1" applyAlignment="1">
      <alignment horizontal="left" vertical="center" wrapText="1"/>
    </xf>
    <xf numFmtId="0" fontId="66" fillId="0" borderId="138" xfId="0" applyFont="1" applyBorder="1" applyAlignment="1">
      <alignment horizontal="left" vertical="center" wrapText="1"/>
    </xf>
    <xf numFmtId="0" fontId="66" fillId="0" borderId="127" xfId="0" applyFont="1" applyBorder="1" applyAlignment="1">
      <alignment horizontal="left" vertical="center" wrapText="1"/>
    </xf>
    <xf numFmtId="0" fontId="65" fillId="0" borderId="140" xfId="0" applyFont="1" applyBorder="1" applyAlignment="1">
      <alignment horizontal="center" vertical="center" wrapText="1"/>
    </xf>
    <xf numFmtId="0" fontId="65" fillId="0" borderId="111" xfId="0" applyFont="1" applyBorder="1" applyAlignment="1">
      <alignment horizontal="center" vertical="center" wrapText="1"/>
    </xf>
    <xf numFmtId="0" fontId="35" fillId="0" borderId="13" xfId="0" applyFont="1" applyBorder="1" applyAlignment="1">
      <alignment horizontal="left" vertical="center"/>
    </xf>
    <xf numFmtId="0" fontId="35" fillId="0" borderId="52" xfId="0" applyFont="1" applyBorder="1" applyAlignment="1">
      <alignment horizontal="left" vertical="center"/>
    </xf>
    <xf numFmtId="0" fontId="35" fillId="0" borderId="53" xfId="0" applyFont="1" applyBorder="1" applyAlignment="1">
      <alignment horizontal="left" vertical="center"/>
    </xf>
    <xf numFmtId="0" fontId="35" fillId="0" borderId="54" xfId="0" applyFont="1" applyBorder="1" applyAlignment="1">
      <alignment horizontal="left" vertical="center"/>
    </xf>
    <xf numFmtId="0" fontId="35" fillId="0" borderId="52" xfId="0" applyFont="1" applyBorder="1" applyAlignment="1">
      <alignment horizontal="left"/>
    </xf>
    <xf numFmtId="0" fontId="35" fillId="0" borderId="54" xfId="0" applyFont="1" applyBorder="1" applyAlignment="1">
      <alignment horizontal="left"/>
    </xf>
    <xf numFmtId="0" fontId="35" fillId="0" borderId="13" xfId="0" applyFont="1" applyBorder="1" applyAlignment="1">
      <alignment horizontal="center" vertical="center"/>
    </xf>
    <xf numFmtId="0" fontId="18" fillId="0" borderId="0" xfId="0" applyFont="1" applyAlignment="1"/>
    <xf numFmtId="0" fontId="0" fillId="0" borderId="0" xfId="0" applyAlignment="1"/>
    <xf numFmtId="0" fontId="19" fillId="0" borderId="25" xfId="0" applyFont="1" applyBorder="1" applyAlignment="1" applyProtection="1">
      <alignment horizontal="center"/>
      <protection locked="0"/>
    </xf>
    <xf numFmtId="0" fontId="23" fillId="0" borderId="13" xfId="0" applyFont="1" applyBorder="1" applyAlignment="1" applyProtection="1">
      <protection locked="0"/>
    </xf>
    <xf numFmtId="0" fontId="18" fillId="0" borderId="13" xfId="0" applyFont="1" applyBorder="1" applyAlignment="1"/>
    <xf numFmtId="0" fontId="0" fillId="0" borderId="13" xfId="0" applyBorder="1" applyAlignment="1"/>
    <xf numFmtId="44" fontId="38" fillId="0" borderId="13" xfId="2" applyFont="1" applyBorder="1" applyAlignment="1"/>
    <xf numFmtId="166" fontId="0" fillId="0" borderId="13" xfId="3" applyNumberFormat="1" applyFont="1" applyBorder="1" applyAlignment="1"/>
  </cellXfs>
  <cellStyles count="4">
    <cellStyle name="Comma" xfId="1" builtinId="3"/>
    <cellStyle name="Currency" xfId="2" builtinId="4"/>
    <cellStyle name="Normal" xfId="0" builtinId="0"/>
    <cellStyle name="Percent" xfId="3" builtinId="5"/>
  </cellStyles>
  <dxfs count="94">
    <dxf>
      <numFmt numFmtId="164" formatCode="#\ &quot;days&quot;"/>
      <alignment horizontal="center" vertical="center" textRotation="0" wrapText="0" indent="0" justifyLastLine="0" shrinkToFit="0" readingOrder="0"/>
    </dxf>
    <dxf>
      <numFmt numFmtId="5" formatCode="#,##0_);\(#,##0\)"/>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numFmt numFmtId="11" formatCode="&quot;$&quot;#,##0.00_);\(&quot;$&quot;#,##0.00\)"/>
      <alignment horizontal="right" vertical="bottom" textRotation="0" wrapText="0" indent="0" justifyLastLine="0" shrinkToFit="0" readingOrder="0"/>
    </dxf>
    <dxf>
      <numFmt numFmtId="11" formatCode="&quot;$&quot;#,##0.00_);\(&quot;$&quot;#,##0.00\)"/>
      <alignment horizontal="right" vertical="bottom" textRotation="0" wrapText="0" indent="0" justifyLastLine="0" shrinkToFit="0" readingOrder="0"/>
    </dxf>
    <dxf>
      <numFmt numFmtId="11" formatCode="&quot;$&quot;#,##0.00_);\(&quot;$&quot;#,##0.00\)"/>
      <alignment horizontal="right" vertical="bottom" textRotation="0" wrapText="0" indent="0" justifyLastLine="0" shrinkToFit="0" readingOrder="0"/>
    </dxf>
    <dxf>
      <numFmt numFmtId="11" formatCode="&quot;$&quot;#,##0.00_);\(&quot;$&quot;#,##0.00\)"/>
      <alignment horizontal="right" vertical="bottom"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numFmt numFmtId="166" formatCode="0.0%"/>
      <alignment horizontal="right" vertical="bottom" textRotation="0" wrapText="0" indent="0" justifyLastLine="0" shrinkToFit="0" readingOrder="0"/>
    </dxf>
    <dxf>
      <numFmt numFmtId="11" formatCode="&quot;$&quot;#,##0.00_);\(&quot;$&quot;#,##0.00\)"/>
      <alignment horizontal="right" vertical="bottom" textRotation="0" wrapText="0" indent="0" justifyLastLine="0" shrinkToFit="0" readingOrder="0"/>
    </dxf>
    <dxf>
      <font>
        <strike val="0"/>
        <outline val="0"/>
        <shadow val="0"/>
        <u val="none"/>
        <vertAlign val="baseline"/>
        <sz val="12"/>
        <color rgb="FF2334D4"/>
        <name val="Aptos Narrow"/>
        <family val="2"/>
        <scheme val="minor"/>
      </font>
      <numFmt numFmtId="11" formatCode="&quot;$&quot;#,##0.00_);\(&quot;$&quot;#,##0.00\)"/>
      <alignment horizontal="right" vertical="bottom" textRotation="0" wrapText="0" indent="0" justifyLastLine="0" shrinkToFit="0" readingOrder="0"/>
    </dxf>
    <dxf>
      <font>
        <strike val="0"/>
        <outline val="0"/>
        <shadow val="0"/>
        <u val="none"/>
        <vertAlign val="baseline"/>
        <sz val="12"/>
        <color rgb="FF2334D4"/>
        <name val="Aptos Narrow"/>
        <family val="2"/>
        <scheme val="minor"/>
      </font>
      <alignment horizontal="center" vertical="bottom" textRotation="0" wrapText="0" indent="0" justifyLastLine="0" shrinkToFit="0" readingOrder="0"/>
    </dxf>
    <dxf>
      <font>
        <strike val="0"/>
        <outline val="0"/>
        <shadow val="0"/>
        <u val="none"/>
        <vertAlign val="baseline"/>
        <sz val="12"/>
        <color rgb="FF2334D4"/>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dxf>
    <dxf>
      <font>
        <strike val="0"/>
        <outline val="0"/>
        <shadow val="0"/>
        <u val="none"/>
        <vertAlign val="baseline"/>
        <color rgb="FF2334D4"/>
        <name val="Aptos Narrow"/>
        <family val="2"/>
        <scheme val="minor"/>
      </font>
      <alignment horizontal="center" vertical="center" textRotation="0" wrapText="0" indent="0" justifyLastLine="0" shrinkToFit="0" readingOrder="0"/>
      <border diagonalUp="0" diagonalDown="0" outline="0">
        <left style="thin">
          <color theme="0" tint="-0.249977111117893"/>
        </left>
        <right/>
        <top style="thin">
          <color theme="0" tint="-0.249977111117893"/>
        </top>
        <bottom style="thin">
          <color theme="0" tint="-0.249977111117893"/>
        </bottom>
      </border>
    </dxf>
    <dxf>
      <font>
        <strike val="0"/>
        <outline val="0"/>
        <shadow val="0"/>
        <u val="none"/>
        <vertAlign val="baseline"/>
        <color rgb="FF2334D4"/>
        <name val="Aptos Narrow"/>
        <family val="2"/>
        <scheme val="minor"/>
      </font>
      <alignment horizontal="center" vertical="center" textRotation="0" wrapText="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border diagonalUp="0" diagonalDown="0" outline="0">
        <left/>
        <right style="thin">
          <color theme="0" tint="-0.249977111117893"/>
        </right>
        <top style="thin">
          <color theme="0" tint="-0.249977111117893"/>
        </top>
        <bottom style="thin">
          <color theme="0" tint="-0.249977111117893"/>
        </bottom>
      </border>
    </dxf>
    <dxf>
      <border outline="0">
        <top style="thin">
          <color theme="0" tint="-0.249977111117893"/>
        </top>
      </border>
    </dxf>
    <dxf>
      <border outline="0">
        <bottom style="thin">
          <color theme="0" tint="-0.249977111117893"/>
        </bottom>
      </border>
    </dxf>
    <dxf>
      <border outline="0">
        <left style="thin">
          <color theme="0" tint="-0.249977111117893"/>
        </left>
        <right style="thin">
          <color theme="0" tint="-0.249977111117893"/>
        </right>
        <top style="thin">
          <color theme="0" tint="-0.249977111117893"/>
        </top>
        <bottom style="thin">
          <color theme="0" tint="-0.249977111117893"/>
        </bottom>
      </border>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strike val="0"/>
        <outline val="0"/>
        <shadow val="0"/>
        <u val="none"/>
        <vertAlign val="baseline"/>
        <sz val="12"/>
        <color rgb="FF2334D4"/>
        <name val="Aptos Narrow"/>
        <family val="2"/>
        <scheme val="minor"/>
      </font>
    </dxf>
    <dxf>
      <font>
        <b/>
        <i val="0"/>
        <strike val="0"/>
        <condense val="0"/>
        <extend val="0"/>
        <outline val="0"/>
        <shadow val="0"/>
        <u val="none"/>
        <vertAlign val="baseline"/>
        <sz val="12"/>
        <color theme="1"/>
        <name val="Aptos Narrow"/>
        <family val="2"/>
        <scheme val="minor"/>
      </font>
    </dxf>
    <dxf>
      <alignment horizontal="center" vertical="center" textRotation="0" indent="0" justifyLastLine="0" shrinkToFit="0" readingOrder="0"/>
    </dxf>
    <dxf>
      <alignment horizontal="center" vertical="center" textRotation="0" wrapText="1" indent="0" justifyLastLine="0" shrinkToFit="0" readingOrder="0"/>
    </dxf>
    <dxf>
      <font>
        <strike val="0"/>
        <outline val="0"/>
        <shadow val="0"/>
        <u val="none"/>
        <vertAlign val="baseline"/>
        <sz val="12"/>
        <color rgb="FF2334D4"/>
        <name val="Aptos Narrow"/>
        <family val="2"/>
        <scheme val="minor"/>
      </font>
      <border diagonalUp="0" diagonalDown="0" outline="0">
        <left style="thin">
          <color theme="1"/>
        </left>
        <right/>
        <top style="thin">
          <color theme="1"/>
        </top>
        <bottom style="thin">
          <color theme="1"/>
        </bottom>
      </border>
    </dxf>
    <dxf>
      <font>
        <strike val="0"/>
        <outline val="0"/>
        <shadow val="0"/>
        <u val="none"/>
        <vertAlign val="baseline"/>
        <sz val="12"/>
        <color rgb="FF2334D4"/>
        <name val="Aptos Narrow"/>
        <family val="2"/>
        <scheme val="minor"/>
      </font>
      <border diagonalUp="0" diagonalDown="0" outline="0">
        <left style="thin">
          <color theme="1"/>
        </left>
        <right style="thin">
          <color theme="1"/>
        </right>
        <top style="thin">
          <color theme="1"/>
        </top>
        <bottom style="thin">
          <color theme="1"/>
        </bottom>
      </border>
    </dxf>
    <dxf>
      <font>
        <strike val="0"/>
        <outline val="0"/>
        <shadow val="0"/>
        <u val="none"/>
        <vertAlign val="baseline"/>
        <sz val="12"/>
        <color rgb="FF2334D4"/>
        <name val="Aptos Narrow"/>
        <family val="2"/>
        <scheme val="minor"/>
      </font>
      <border diagonalUp="0" diagonalDown="0" outline="0">
        <left style="thin">
          <color theme="1"/>
        </left>
        <right style="thin">
          <color theme="1"/>
        </right>
        <top style="thin">
          <color theme="1"/>
        </top>
        <bottom style="thin">
          <color theme="1"/>
        </bottom>
      </border>
    </dxf>
    <dxf>
      <font>
        <strike val="0"/>
        <outline val="0"/>
        <shadow val="0"/>
        <u val="none"/>
        <vertAlign val="baseline"/>
        <sz val="12"/>
        <color rgb="FF2334D4"/>
        <name val="Aptos Narrow"/>
        <family val="2"/>
        <scheme val="minor"/>
      </font>
      <border diagonalUp="0" diagonalDown="0" outline="0">
        <left style="thin">
          <color theme="1"/>
        </left>
        <right style="thin">
          <color theme="1"/>
        </right>
        <top style="thin">
          <color theme="1"/>
        </top>
        <bottom style="thin">
          <color theme="1"/>
        </bottom>
      </border>
    </dxf>
    <dxf>
      <font>
        <strike val="0"/>
        <outline val="0"/>
        <shadow val="0"/>
        <u val="none"/>
        <vertAlign val="baseline"/>
        <sz val="12"/>
        <color rgb="FF2334D4"/>
        <name val="Aptos Narrow"/>
        <family val="2"/>
        <scheme val="minor"/>
      </font>
      <border diagonalUp="0" diagonalDown="0" outline="0">
        <left style="thin">
          <color theme="1"/>
        </left>
        <right style="thin">
          <color theme="1"/>
        </right>
        <top style="thin">
          <color theme="1"/>
        </top>
        <bottom style="thin">
          <color theme="1"/>
        </bottom>
      </border>
    </dxf>
    <dxf>
      <font>
        <strike val="0"/>
        <outline val="0"/>
        <shadow val="0"/>
        <u val="none"/>
        <vertAlign val="baseline"/>
        <sz val="12"/>
        <color rgb="FF2334D4"/>
        <name val="Aptos Narrow"/>
        <family val="2"/>
        <scheme val="minor"/>
      </font>
      <alignment horizontal="center" vertical="center" textRotation="0" wrapText="0" indent="0" justifyLastLine="0" shrinkToFit="0" readingOrder="0"/>
      <border diagonalUp="0" diagonalDown="0" outline="0">
        <left/>
        <right style="thin">
          <color theme="1"/>
        </right>
        <top style="thin">
          <color theme="1"/>
        </top>
        <bottom style="thin">
          <color theme="1"/>
        </bottom>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strike val="0"/>
        <outline val="0"/>
        <shadow val="0"/>
        <u val="none"/>
        <vertAlign val="baseline"/>
        <sz val="12"/>
        <color rgb="FF2334D4"/>
        <name val="Aptos Narrow"/>
        <family val="2"/>
        <scheme val="minor"/>
      </font>
    </dxf>
    <dxf>
      <font>
        <b/>
        <i val="0"/>
        <strike val="0"/>
        <condense val="0"/>
        <extend val="0"/>
        <outline val="0"/>
        <shadow val="0"/>
        <u val="none"/>
        <vertAlign val="baseline"/>
        <sz val="12"/>
        <color theme="1"/>
        <name val="Roboto"/>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bottom/>
      </border>
    </dxf>
    <dxf>
      <numFmt numFmtId="34" formatCode="_(&quot;$&quot;* #,##0.00_);_(&quot;$&quot;* \(#,##0.00\);_(&quot;$&quot;* &quot;-&quot;??_);_(@_)"/>
    </dxf>
    <dxf>
      <numFmt numFmtId="0" formatCode="General"/>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ont>
        <strike val="0"/>
        <outline val="0"/>
        <shadow val="0"/>
        <u val="none"/>
        <vertAlign val="baseline"/>
        <sz val="12"/>
        <color rgb="FF2334D4"/>
        <name val="Aptos Narrow"/>
        <family val="2"/>
        <scheme val="minor"/>
      </font>
      <alignment horizontal="center" vertical="center" textRotation="0" wrapText="1" indent="0" justifyLastLine="0" shrinkToFit="0" readingOrder="0"/>
    </dxf>
    <dxf>
      <font>
        <strike val="0"/>
        <outline val="0"/>
        <shadow val="0"/>
        <u val="none"/>
        <vertAlign val="baseline"/>
        <sz val="12"/>
        <color rgb="FF2334D4"/>
        <name val="Aptos Narrow"/>
        <family val="2"/>
        <scheme val="minor"/>
      </font>
      <alignment horizontal="center" vertical="center" textRotation="0" wrapText="1" indent="0" justifyLastLine="0" shrinkToFit="0" readingOrder="0"/>
    </dxf>
    <dxf>
      <font>
        <strike val="0"/>
        <outline val="0"/>
        <shadow val="0"/>
        <u val="none"/>
        <vertAlign val="baseline"/>
        <sz val="12"/>
        <color rgb="FF2334D4"/>
        <name val="Aptos Narrow"/>
        <family val="2"/>
        <scheme val="minor"/>
      </font>
      <alignment horizontal="left" vertical="top" textRotation="0" wrapText="1" indent="0" justifyLastLine="0" shrinkToFit="0" readingOrder="0"/>
    </dxf>
    <dxf>
      <font>
        <strike val="0"/>
        <outline val="0"/>
        <shadow val="0"/>
        <u val="none"/>
        <vertAlign val="baseline"/>
        <sz val="12"/>
        <color rgb="FF2334D4"/>
        <name val="Aptos Narrow"/>
        <family val="2"/>
        <scheme val="minor"/>
      </font>
      <alignment horizontal="center" vertical="center" textRotation="0" wrapText="1" indent="0" justifyLastLine="0" shrinkToFit="0" readingOrder="0"/>
    </dxf>
    <dxf>
      <font>
        <strike val="0"/>
        <outline val="0"/>
        <shadow val="0"/>
        <u val="none"/>
        <vertAlign val="baseline"/>
        <sz val="12"/>
        <color rgb="FF2334D4"/>
        <name val="Aptos Narrow"/>
        <family val="2"/>
        <scheme val="minor"/>
      </font>
      <alignment horizontal="left" vertical="top"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b val="0"/>
        <strike val="0"/>
        <outline val="0"/>
        <shadow val="0"/>
        <u val="none"/>
        <vertAlign val="baseline"/>
        <sz val="12"/>
        <color rgb="FF2334D4"/>
        <name val="Aptos Narrow"/>
        <scheme val="minor"/>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rgb="FF2334D4"/>
        <name val="Aptos Narrow"/>
        <scheme val="minor"/>
      </font>
      <fill>
        <patternFill patternType="none">
          <fgColor indexed="64"/>
          <bgColor indexed="65"/>
        </patternFill>
      </fill>
      <alignment horizontal="center" vertical="bottom" textRotation="0" wrapText="0" indent="0" justifyLastLine="0" shrinkToFit="0" readingOrder="0"/>
      <protection locked="0" hidden="0"/>
    </dxf>
    <dxf>
      <font>
        <b val="0"/>
        <strike val="0"/>
        <outline val="0"/>
        <shadow val="0"/>
        <u val="none"/>
        <vertAlign val="baseline"/>
        <sz val="12"/>
        <color rgb="FF2334D4"/>
        <name val="Aptos Narrow"/>
        <scheme val="minor"/>
      </font>
      <protection locked="0" hidden="0"/>
    </dxf>
    <dxf>
      <font>
        <b/>
        <i val="0"/>
        <strike val="0"/>
        <condense val="0"/>
        <extend val="0"/>
        <outline val="0"/>
        <shadow val="0"/>
        <u val="none"/>
        <vertAlign val="baseline"/>
        <sz val="12"/>
        <color theme="1"/>
        <name val="Aptos Narrow"/>
        <family val="2"/>
        <scheme val="minor"/>
      </font>
      <fill>
        <patternFill patternType="none">
          <fgColor indexed="64"/>
          <bgColor indexed="65"/>
        </patternFill>
      </fill>
      <alignment horizontal="center" vertical="center" textRotation="0" wrapText="1" indent="0" justifyLastLine="0" shrinkToFit="0" readingOrder="0"/>
      <protection locked="0" hidden="0"/>
    </dxf>
    <dxf>
      <numFmt numFmtId="164" formatCode="#\ &quot;days&quot;"/>
      <alignment horizontal="center" vertical="center" textRotation="0" wrapText="0" indent="0" justifyLastLine="0" shrinkToFit="0" readingOrder="0"/>
      <protection locked="0" hidden="0"/>
    </dxf>
    <dxf>
      <numFmt numFmtId="164" formatCode="#\ &quot;days&quot;"/>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numFmt numFmtId="19" formatCode="m/d/yyyy"/>
      <alignment horizontal="center" vertical="center" textRotation="0" wrapText="0" indent="0" justifyLastLine="0" shrinkToFit="0" readingOrder="0"/>
      <protection locked="0" hidden="0"/>
    </dxf>
    <dxf>
      <protection locked="0" hidden="0"/>
    </dxf>
    <dxf>
      <protection locked="0" hidden="0"/>
    </dxf>
    <dxf>
      <protection locked="0" hidden="0"/>
    </dxf>
    <dxf>
      <font>
        <strike val="0"/>
        <outline val="0"/>
        <shadow val="0"/>
        <u val="none"/>
        <vertAlign val="baseline"/>
        <sz val="12"/>
        <color rgb="FF2334D4"/>
        <name val="Aptos Narrow"/>
        <family val="2"/>
        <scheme val="minor"/>
      </font>
      <numFmt numFmtId="30" formatCode="@"/>
      <alignment horizontal="left" vertical="center" textRotation="0" wrapText="1" indent="0" justifyLastLine="0" shrinkToFit="0" readingOrder="0"/>
      <protection locked="0" hidden="0"/>
    </dxf>
    <dxf>
      <font>
        <strike val="0"/>
        <outline val="0"/>
        <shadow val="0"/>
        <u val="none"/>
        <vertAlign val="baseline"/>
        <sz val="12"/>
        <color rgb="FF2334D4"/>
        <name val="Aptos Narrow"/>
        <family val="2"/>
        <scheme val="minor"/>
      </font>
      <numFmt numFmtId="30" formatCode="@"/>
      <alignment horizontal="left" vertical="center" textRotation="0" wrapText="1" indent="0" justifyLastLine="0" shrinkToFit="0" readingOrder="0"/>
      <protection locked="0" hidden="0"/>
    </dxf>
    <dxf>
      <font>
        <strike val="0"/>
        <outline val="0"/>
        <shadow val="0"/>
        <u val="none"/>
        <vertAlign val="baseline"/>
        <sz val="12"/>
        <color rgb="FF2334D4"/>
        <name val="Aptos Narrow"/>
        <family val="2"/>
        <scheme val="minor"/>
      </font>
      <numFmt numFmtId="30" formatCode="@"/>
      <alignment horizontal="left" vertical="center" textRotation="0" wrapText="1" indent="0" justifyLastLine="0" shrinkToFit="0" readingOrder="0"/>
      <protection locked="0" hidden="0"/>
    </dxf>
    <dxf>
      <font>
        <strike val="0"/>
        <outline val="0"/>
        <shadow val="0"/>
        <u val="none"/>
        <vertAlign val="baseline"/>
        <sz val="12"/>
        <color rgb="FF2334D4"/>
        <name val="Aptos Narrow"/>
        <family val="2"/>
        <scheme val="minor"/>
      </font>
      <numFmt numFmtId="30" formatCode="@"/>
      <alignment horizontal="left" vertical="center" textRotation="0" wrapText="1" indent="0" justifyLastLine="0" shrinkToFit="0" readingOrder="0"/>
      <protection locked="0" hidden="0"/>
    </dxf>
    <dxf>
      <font>
        <strike val="0"/>
        <outline val="0"/>
        <shadow val="0"/>
        <u val="none"/>
        <vertAlign val="baseline"/>
        <sz val="12"/>
        <color rgb="FF2334D4"/>
        <name val="Aptos Narrow"/>
        <family val="2"/>
        <scheme val="minor"/>
      </font>
      <numFmt numFmtId="30" formatCode="@"/>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font>
        <strike val="0"/>
        <outline val="0"/>
        <shadow val="0"/>
        <u val="none"/>
        <vertAlign val="baseline"/>
        <sz val="12"/>
        <color rgb="FF2334D4"/>
        <name val="Aptos Narrow"/>
        <family val="2"/>
        <scheme val="minor"/>
      </font>
      <alignment horizontal="left" vertical="top" textRotation="0" wrapText="1" indent="0" justifyLastLine="0" shrinkToFit="0" readingOrder="0"/>
    </dxf>
    <dxf>
      <alignment horizontal="center" vertical="center" textRotation="0" wrapText="0" indent="0" justifyLastLine="0" shrinkToFit="0" readingOrder="0"/>
    </dxf>
    <dxf>
      <font>
        <strike val="0"/>
        <outline val="0"/>
        <shadow val="0"/>
        <u val="none"/>
        <vertAlign val="baseline"/>
        <sz val="12"/>
        <color rgb="FF2334D4"/>
        <name val="Aptos Narrow"/>
        <family val="2"/>
        <scheme val="minor"/>
      </font>
      <alignment horizontal="left" vertical="top" textRotation="0" wrapText="1" indent="0" justifyLastLine="0" shrinkToFit="0" readingOrder="0"/>
    </dxf>
    <dxf>
      <alignment horizontal="center" vertical="center" textRotation="0" wrapText="0" indent="0" justifyLastLine="0" shrinkToFit="0" readingOrder="0"/>
    </dxf>
    <dxf>
      <fill>
        <patternFill patternType="solid">
          <fgColor rgb="FF01AF00"/>
          <bgColor rgb="FF00B050"/>
        </patternFill>
      </fill>
      <border>
        <vertical/>
        <horizontal/>
      </border>
    </dxf>
    <dxf>
      <fill>
        <patternFill patternType="solid">
          <fgColor rgb="FFFF0000"/>
          <bgColor rgb="FFDD2917"/>
        </patternFill>
      </fill>
      <border>
        <vertical/>
        <horizontal/>
      </border>
    </dxf>
    <dxf>
      <fill>
        <patternFill patternType="solid">
          <fgColor rgb="FFE58200"/>
          <bgColor rgb="FFE58200"/>
        </patternFill>
      </fill>
      <border>
        <vertical/>
        <horizontal/>
      </border>
    </dxf>
    <dxf>
      <fill>
        <patternFill patternType="solid">
          <fgColor rgb="FF01AF00"/>
          <bgColor rgb="FF00B050"/>
        </patternFill>
      </fill>
      <border>
        <vertical/>
        <horizontal/>
      </border>
    </dxf>
    <dxf>
      <fill>
        <patternFill patternType="solid">
          <fgColor rgb="FFFF0000"/>
          <bgColor rgb="FFDD2917"/>
        </patternFill>
      </fill>
      <border>
        <vertical/>
        <horizontal/>
      </border>
    </dxf>
    <dxf>
      <fill>
        <patternFill patternType="solid">
          <fgColor rgb="FFE58200"/>
          <bgColor rgb="FFE58200"/>
        </patternFill>
      </fill>
      <border>
        <vertical/>
        <horizontal/>
      </border>
    </dxf>
  </dxfs>
  <tableStyles count="0" defaultTableStyle="TableStyleMedium2" defaultPivotStyle="PivotStyleLight16"/>
  <colors>
    <mruColors>
      <color rgb="FF2334D4"/>
      <color rgb="FF00524C"/>
      <color rgb="FF00524B"/>
      <color rgb="FFA628B1"/>
      <color rgb="FFE58200"/>
      <color rgb="FFA71D23"/>
      <color rgb="FFDC2916"/>
      <color rgb="FF01A79A"/>
      <color rgb="FF448E02"/>
      <color rgb="FF01A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'SUBMITTALS &amp; RFI'!$C$2</c:f>
              <c:strCache>
                <c:ptCount val="1"/>
                <c:pt idx="0">
                  <c:v>Open Critical RFIs</c:v>
                </c:pt>
              </c:strCache>
            </c:strRef>
          </c:tx>
          <c:spPr>
            <a:solidFill>
              <a:schemeClr val="accent1"/>
            </a:solidFill>
            <a:ln>
              <a:noFill/>
            </a:ln>
            <a:effectLst/>
          </c:spPr>
          <c:invertIfNegative val="0"/>
          <c:cat>
            <c:strRef>
              <c:f>'SUBMITTALS &amp; RFI'!$B$3:$B$13</c:f>
              <c:strCache>
                <c:ptCount val="9"/>
                <c:pt idx="0">
                  <c:v>Electrical</c:v>
                </c:pt>
                <c:pt idx="1">
                  <c:v>HVAC</c:v>
                </c:pt>
                <c:pt idx="2">
                  <c:v>Windows</c:v>
                </c:pt>
                <c:pt idx="3">
                  <c:v>Metals  </c:v>
                </c:pt>
                <c:pt idx="4">
                  <c:v>Foundation</c:v>
                </c:pt>
                <c:pt idx="5">
                  <c:v>Existing Conditions  </c:v>
                </c:pt>
                <c:pt idx="6">
                  <c:v>Metals  </c:v>
                </c:pt>
                <c:pt idx="7">
                  <c:v>Conveying Equipment  </c:v>
                </c:pt>
                <c:pt idx="8">
                  <c:v>Exterior Improvements</c:v>
                </c:pt>
              </c:strCache>
            </c:strRef>
          </c:cat>
          <c:val>
            <c:numRef>
              <c:f>'SUBMITTALS &amp; RFI'!$C$3:$C$13</c:f>
              <c:numCache>
                <c:formatCode>General</c:formatCode>
                <c:ptCount val="11"/>
                <c:pt idx="0">
                  <c:v>8</c:v>
                </c:pt>
                <c:pt idx="1">
                  <c:v>5</c:v>
                </c:pt>
                <c:pt idx="2">
                  <c:v>4</c:v>
                </c:pt>
                <c:pt idx="3">
                  <c:v>4</c:v>
                </c:pt>
                <c:pt idx="4">
                  <c:v>4</c:v>
                </c:pt>
                <c:pt idx="5">
                  <c:v>4</c:v>
                </c:pt>
                <c:pt idx="6">
                  <c:v>4</c:v>
                </c:pt>
                <c:pt idx="7">
                  <c:v>4</c:v>
                </c:pt>
                <c:pt idx="8">
                  <c:v>4</c:v>
                </c:pt>
                <c:pt idx="9">
                  <c:v>0</c:v>
                </c:pt>
                <c:pt idx="10">
                  <c:v>0</c:v>
                </c:pt>
              </c:numCache>
            </c:numRef>
          </c:val>
          <c:extLst>
            <c:ext xmlns:c16="http://schemas.microsoft.com/office/drawing/2014/chart" uri="{C3380CC4-5D6E-409C-BE32-E72D297353CC}">
              <c16:uniqueId val="{00000000-E540-CE4F-8B8B-D2490C8D396F}"/>
            </c:ext>
          </c:extLst>
        </c:ser>
        <c:ser>
          <c:idx val="1"/>
          <c:order val="1"/>
          <c:tx>
            <c:strRef>
              <c:f>'SUBMITTALS &amp; RFI'!$D$2</c:f>
              <c:strCache>
                <c:ptCount val="1"/>
                <c:pt idx="0">
                  <c:v>Open Critical Submittals</c:v>
                </c:pt>
              </c:strCache>
            </c:strRef>
          </c:tx>
          <c:spPr>
            <a:solidFill>
              <a:schemeClr val="accent2"/>
            </a:solidFill>
            <a:ln>
              <a:noFill/>
            </a:ln>
            <a:effectLst/>
          </c:spPr>
          <c:invertIfNegative val="0"/>
          <c:cat>
            <c:strRef>
              <c:f>'SUBMITTALS &amp; RFI'!$B$3:$B$13</c:f>
              <c:strCache>
                <c:ptCount val="9"/>
                <c:pt idx="0">
                  <c:v>Electrical</c:v>
                </c:pt>
                <c:pt idx="1">
                  <c:v>HVAC</c:v>
                </c:pt>
                <c:pt idx="2">
                  <c:v>Windows</c:v>
                </c:pt>
                <c:pt idx="3">
                  <c:v>Metals  </c:v>
                </c:pt>
                <c:pt idx="4">
                  <c:v>Foundation</c:v>
                </c:pt>
                <c:pt idx="5">
                  <c:v>Existing Conditions  </c:v>
                </c:pt>
                <c:pt idx="6">
                  <c:v>Metals  </c:v>
                </c:pt>
                <c:pt idx="7">
                  <c:v>Conveying Equipment  </c:v>
                </c:pt>
                <c:pt idx="8">
                  <c:v>Exterior Improvements</c:v>
                </c:pt>
              </c:strCache>
            </c:strRef>
          </c:cat>
          <c:val>
            <c:numRef>
              <c:f>'SUBMITTALS &amp; RFI'!$D$3:$D$13</c:f>
              <c:numCache>
                <c:formatCode>General</c:formatCode>
                <c:ptCount val="11"/>
                <c:pt idx="0">
                  <c:v>3</c:v>
                </c:pt>
                <c:pt idx="1">
                  <c:v>2</c:v>
                </c:pt>
                <c:pt idx="2">
                  <c:v>5</c:v>
                </c:pt>
                <c:pt idx="3">
                  <c:v>5</c:v>
                </c:pt>
                <c:pt idx="4">
                  <c:v>5</c:v>
                </c:pt>
                <c:pt idx="5">
                  <c:v>5</c:v>
                </c:pt>
                <c:pt idx="6">
                  <c:v>5</c:v>
                </c:pt>
                <c:pt idx="7">
                  <c:v>5</c:v>
                </c:pt>
                <c:pt idx="8">
                  <c:v>5</c:v>
                </c:pt>
                <c:pt idx="9">
                  <c:v>0</c:v>
                </c:pt>
                <c:pt idx="10">
                  <c:v>0</c:v>
                </c:pt>
              </c:numCache>
            </c:numRef>
          </c:val>
          <c:extLst>
            <c:ext xmlns:c16="http://schemas.microsoft.com/office/drawing/2014/chart" uri="{C3380CC4-5D6E-409C-BE32-E72D297353CC}">
              <c16:uniqueId val="{00000001-E540-CE4F-8B8B-D2490C8D396F}"/>
            </c:ext>
          </c:extLst>
        </c:ser>
        <c:dLbls>
          <c:showLegendKey val="0"/>
          <c:showVal val="0"/>
          <c:showCatName val="0"/>
          <c:showSerName val="0"/>
          <c:showPercent val="0"/>
          <c:showBubbleSize val="0"/>
        </c:dLbls>
        <c:gapWidth val="182"/>
        <c:axId val="450063584"/>
        <c:axId val="449980208"/>
      </c:barChart>
      <c:catAx>
        <c:axId val="45006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80208"/>
        <c:crosses val="autoZero"/>
        <c:auto val="1"/>
        <c:lblAlgn val="ctr"/>
        <c:lblOffset val="100"/>
        <c:noMultiLvlLbl val="0"/>
      </c:catAx>
      <c:valAx>
        <c:axId val="44998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06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37</xdr:col>
      <xdr:colOff>787400</xdr:colOff>
      <xdr:row>50</xdr:row>
      <xdr:rowOff>69476</xdr:rowOff>
    </xdr:from>
    <xdr:to>
      <xdr:col>38</xdr:col>
      <xdr:colOff>76200</xdr:colOff>
      <xdr:row>50</xdr:row>
      <xdr:rowOff>209176</xdr:rowOff>
    </xdr:to>
    <xdr:sp macro="" textlink="">
      <xdr:nvSpPr>
        <xdr:cNvPr id="10" name="Diamond 9">
          <a:extLst>
            <a:ext uri="{FF2B5EF4-FFF2-40B4-BE49-F238E27FC236}">
              <a16:creationId xmlns:a16="http://schemas.microsoft.com/office/drawing/2014/main" id="{66F4850D-68B1-4847-8023-E61DA5B6D9ED}"/>
            </a:ext>
          </a:extLst>
        </xdr:cNvPr>
        <xdr:cNvSpPr/>
      </xdr:nvSpPr>
      <xdr:spPr>
        <a:xfrm>
          <a:off x="16849165" y="10789770"/>
          <a:ext cx="166594" cy="139700"/>
        </a:xfrm>
        <a:prstGeom prst="diamond">
          <a:avLst/>
        </a:prstGeom>
        <a:solidFill>
          <a:srgbClr val="E48200"/>
        </a:solidFill>
        <a:ln>
          <a:solidFill>
            <a:srgbClr val="E4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7409</xdr:colOff>
      <xdr:row>39</xdr:row>
      <xdr:rowOff>29634</xdr:rowOff>
    </xdr:from>
    <xdr:to>
      <xdr:col>46</xdr:col>
      <xdr:colOff>208492</xdr:colOff>
      <xdr:row>39</xdr:row>
      <xdr:rowOff>186267</xdr:rowOff>
    </xdr:to>
    <xdr:sp macro="" textlink="">
      <xdr:nvSpPr>
        <xdr:cNvPr id="3" name="Diamond 2">
          <a:extLst>
            <a:ext uri="{FF2B5EF4-FFF2-40B4-BE49-F238E27FC236}">
              <a16:creationId xmlns:a16="http://schemas.microsoft.com/office/drawing/2014/main" id="{93E018AB-9476-8D45-8193-028B7CBA4AA1}"/>
            </a:ext>
          </a:extLst>
        </xdr:cNvPr>
        <xdr:cNvSpPr/>
      </xdr:nvSpPr>
      <xdr:spPr>
        <a:xfrm>
          <a:off x="21614342" y="7683501"/>
          <a:ext cx="201083" cy="156633"/>
        </a:xfrm>
        <a:prstGeom prst="diamond">
          <a:avLst/>
        </a:prstGeom>
        <a:solidFill>
          <a:srgbClr val="2334D3"/>
        </a:solidFill>
        <a:ln>
          <a:solidFill>
            <a:srgbClr val="2334D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787400</xdr:colOff>
      <xdr:row>53</xdr:row>
      <xdr:rowOff>50800</xdr:rowOff>
    </xdr:from>
    <xdr:to>
      <xdr:col>38</xdr:col>
      <xdr:colOff>76200</xdr:colOff>
      <xdr:row>53</xdr:row>
      <xdr:rowOff>190500</xdr:rowOff>
    </xdr:to>
    <xdr:sp macro="" textlink="">
      <xdr:nvSpPr>
        <xdr:cNvPr id="7" name="Diamond 6">
          <a:extLst>
            <a:ext uri="{FF2B5EF4-FFF2-40B4-BE49-F238E27FC236}">
              <a16:creationId xmlns:a16="http://schemas.microsoft.com/office/drawing/2014/main" id="{B93C47D2-1076-4F40-B448-37E343F828D1}"/>
            </a:ext>
          </a:extLst>
        </xdr:cNvPr>
        <xdr:cNvSpPr/>
      </xdr:nvSpPr>
      <xdr:spPr>
        <a:xfrm>
          <a:off x="16929100" y="11785600"/>
          <a:ext cx="165100" cy="139700"/>
        </a:xfrm>
        <a:prstGeom prst="diamond">
          <a:avLst/>
        </a:prstGeom>
        <a:solidFill>
          <a:srgbClr val="E48200"/>
        </a:solidFill>
        <a:ln>
          <a:solidFill>
            <a:srgbClr val="E4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787400</xdr:colOff>
      <xdr:row>47</xdr:row>
      <xdr:rowOff>69476</xdr:rowOff>
    </xdr:from>
    <xdr:to>
      <xdr:col>38</xdr:col>
      <xdr:colOff>76200</xdr:colOff>
      <xdr:row>47</xdr:row>
      <xdr:rowOff>209176</xdr:rowOff>
    </xdr:to>
    <xdr:sp macro="" textlink="">
      <xdr:nvSpPr>
        <xdr:cNvPr id="8" name="Diamond 7">
          <a:extLst>
            <a:ext uri="{FF2B5EF4-FFF2-40B4-BE49-F238E27FC236}">
              <a16:creationId xmlns:a16="http://schemas.microsoft.com/office/drawing/2014/main" id="{C5689E8E-32E8-A84A-A191-99C10BE91005}"/>
            </a:ext>
          </a:extLst>
        </xdr:cNvPr>
        <xdr:cNvSpPr/>
      </xdr:nvSpPr>
      <xdr:spPr>
        <a:xfrm>
          <a:off x="16849165" y="10080064"/>
          <a:ext cx="166594" cy="139700"/>
        </a:xfrm>
        <a:prstGeom prst="diamond">
          <a:avLst/>
        </a:prstGeom>
        <a:solidFill>
          <a:srgbClr val="E48200"/>
        </a:solidFill>
        <a:ln>
          <a:solidFill>
            <a:srgbClr val="E4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787400</xdr:colOff>
      <xdr:row>56</xdr:row>
      <xdr:rowOff>50800</xdr:rowOff>
    </xdr:from>
    <xdr:to>
      <xdr:col>38</xdr:col>
      <xdr:colOff>76200</xdr:colOff>
      <xdr:row>56</xdr:row>
      <xdr:rowOff>190500</xdr:rowOff>
    </xdr:to>
    <xdr:sp macro="" textlink="">
      <xdr:nvSpPr>
        <xdr:cNvPr id="13" name="Diamond 12">
          <a:extLst>
            <a:ext uri="{FF2B5EF4-FFF2-40B4-BE49-F238E27FC236}">
              <a16:creationId xmlns:a16="http://schemas.microsoft.com/office/drawing/2014/main" id="{C86329BC-5FBD-124E-B72F-24CC1A6C98C4}"/>
            </a:ext>
          </a:extLst>
        </xdr:cNvPr>
        <xdr:cNvSpPr/>
      </xdr:nvSpPr>
      <xdr:spPr>
        <a:xfrm>
          <a:off x="16849165" y="11480800"/>
          <a:ext cx="166594" cy="139700"/>
        </a:xfrm>
        <a:prstGeom prst="diamond">
          <a:avLst/>
        </a:prstGeom>
        <a:solidFill>
          <a:srgbClr val="E48200"/>
        </a:solidFill>
        <a:ln>
          <a:solidFill>
            <a:srgbClr val="E4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884719</xdr:colOff>
      <xdr:row>63</xdr:row>
      <xdr:rowOff>57074</xdr:rowOff>
    </xdr:from>
    <xdr:to>
      <xdr:col>15</xdr:col>
      <xdr:colOff>76648</xdr:colOff>
      <xdr:row>63</xdr:row>
      <xdr:rowOff>246072</xdr:rowOff>
    </xdr:to>
    <xdr:sp macro="" textlink="">
      <xdr:nvSpPr>
        <xdr:cNvPr id="14" name="Diamond 13">
          <a:extLst>
            <a:ext uri="{FF2B5EF4-FFF2-40B4-BE49-F238E27FC236}">
              <a16:creationId xmlns:a16="http://schemas.microsoft.com/office/drawing/2014/main" id="{AB5E99DA-9C0D-C846-A6FE-D8E0F89DC62D}"/>
            </a:ext>
          </a:extLst>
        </xdr:cNvPr>
        <xdr:cNvSpPr/>
      </xdr:nvSpPr>
      <xdr:spPr>
        <a:xfrm>
          <a:off x="7605730" y="13356400"/>
          <a:ext cx="176536" cy="188998"/>
        </a:xfrm>
        <a:prstGeom prst="diamond">
          <a:avLst/>
        </a:prstGeom>
        <a:solidFill>
          <a:srgbClr val="A628B1"/>
        </a:solidFill>
        <a:ln>
          <a:solidFill>
            <a:srgbClr val="A628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770564</xdr:colOff>
      <xdr:row>63</xdr:row>
      <xdr:rowOff>57080</xdr:rowOff>
    </xdr:from>
    <xdr:to>
      <xdr:col>12</xdr:col>
      <xdr:colOff>76650</xdr:colOff>
      <xdr:row>63</xdr:row>
      <xdr:rowOff>246078</xdr:rowOff>
    </xdr:to>
    <xdr:sp macro="" textlink="">
      <xdr:nvSpPr>
        <xdr:cNvPr id="15" name="Diamond 14">
          <a:extLst>
            <a:ext uri="{FF2B5EF4-FFF2-40B4-BE49-F238E27FC236}">
              <a16:creationId xmlns:a16="http://schemas.microsoft.com/office/drawing/2014/main" id="{80FF47E3-82E4-3346-BC73-FAD03E5C8504}"/>
            </a:ext>
          </a:extLst>
        </xdr:cNvPr>
        <xdr:cNvSpPr/>
      </xdr:nvSpPr>
      <xdr:spPr>
        <a:xfrm>
          <a:off x="5336856" y="13356406"/>
          <a:ext cx="176536" cy="188998"/>
        </a:xfrm>
        <a:prstGeom prst="diamond">
          <a:avLst/>
        </a:prstGeom>
        <a:solidFill>
          <a:srgbClr val="A628B1"/>
        </a:solidFill>
        <a:ln>
          <a:solidFill>
            <a:srgbClr val="A628B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40967</xdr:colOff>
      <xdr:row>44</xdr:row>
      <xdr:rowOff>15802</xdr:rowOff>
    </xdr:from>
    <xdr:to>
      <xdr:col>48</xdr:col>
      <xdr:colOff>102419</xdr:colOff>
      <xdr:row>59</xdr:row>
      <xdr:rowOff>212621</xdr:rowOff>
    </xdr:to>
    <xdr:graphicFrame macro="">
      <xdr:nvGraphicFramePr>
        <xdr:cNvPr id="16" name="Chart 15">
          <a:extLst>
            <a:ext uri="{FF2B5EF4-FFF2-40B4-BE49-F238E27FC236}">
              <a16:creationId xmlns:a16="http://schemas.microsoft.com/office/drawing/2014/main" id="{ADA66C88-1E98-F440-94F7-A66286FEB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7</xdr:row>
      <xdr:rowOff>12700</xdr:rowOff>
    </xdr:from>
    <xdr:to>
      <xdr:col>5</xdr:col>
      <xdr:colOff>977900</xdr:colOff>
      <xdr:row>8</xdr:row>
      <xdr:rowOff>0</xdr:rowOff>
    </xdr:to>
    <xdr:sp macro="" textlink="">
      <xdr:nvSpPr>
        <xdr:cNvPr id="4" name="Right Brace 3">
          <a:extLst>
            <a:ext uri="{FF2B5EF4-FFF2-40B4-BE49-F238E27FC236}">
              <a16:creationId xmlns:a16="http://schemas.microsoft.com/office/drawing/2014/main" id="{E124BCBC-A08E-30AF-E497-A81D501062BB}"/>
            </a:ext>
          </a:extLst>
        </xdr:cNvPr>
        <xdr:cNvSpPr/>
      </xdr:nvSpPr>
      <xdr:spPr>
        <a:xfrm>
          <a:off x="6299200" y="1435100"/>
          <a:ext cx="965200" cy="10287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twoCellAnchor>
    <xdr:from>
      <xdr:col>6</xdr:col>
      <xdr:colOff>25400</xdr:colOff>
      <xdr:row>17</xdr:row>
      <xdr:rowOff>12700</xdr:rowOff>
    </xdr:from>
    <xdr:to>
      <xdr:col>6</xdr:col>
      <xdr:colOff>850900</xdr:colOff>
      <xdr:row>21</xdr:row>
      <xdr:rowOff>0</xdr:rowOff>
    </xdr:to>
    <xdr:sp macro="" textlink="">
      <xdr:nvSpPr>
        <xdr:cNvPr id="5" name="Right Brace 4">
          <a:extLst>
            <a:ext uri="{FF2B5EF4-FFF2-40B4-BE49-F238E27FC236}">
              <a16:creationId xmlns:a16="http://schemas.microsoft.com/office/drawing/2014/main" id="{BC59A705-D538-9CC1-8163-791E697A5640}"/>
            </a:ext>
          </a:extLst>
        </xdr:cNvPr>
        <xdr:cNvSpPr/>
      </xdr:nvSpPr>
      <xdr:spPr>
        <a:xfrm>
          <a:off x="7366000" y="4305300"/>
          <a:ext cx="825500" cy="8128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twoCellAnchor>
    <xdr:from>
      <xdr:col>5</xdr:col>
      <xdr:colOff>0</xdr:colOff>
      <xdr:row>6</xdr:row>
      <xdr:rowOff>0</xdr:rowOff>
    </xdr:from>
    <xdr:to>
      <xdr:col>5</xdr:col>
      <xdr:colOff>965200</xdr:colOff>
      <xdr:row>7</xdr:row>
      <xdr:rowOff>12700</xdr:rowOff>
    </xdr:to>
    <xdr:sp macro="" textlink="">
      <xdr:nvSpPr>
        <xdr:cNvPr id="6" name="Right Brace 5">
          <a:extLst>
            <a:ext uri="{FF2B5EF4-FFF2-40B4-BE49-F238E27FC236}">
              <a16:creationId xmlns:a16="http://schemas.microsoft.com/office/drawing/2014/main" id="{A39FFF82-075A-0F46-B0C6-BA805FF90B91}"/>
            </a:ext>
          </a:extLst>
        </xdr:cNvPr>
        <xdr:cNvSpPr/>
      </xdr:nvSpPr>
      <xdr:spPr>
        <a:xfrm>
          <a:off x="6286500" y="1219200"/>
          <a:ext cx="965200" cy="2159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27</xdr:row>
      <xdr:rowOff>0</xdr:rowOff>
    </xdr:from>
    <xdr:to>
      <xdr:col>7</xdr:col>
      <xdr:colOff>241300</xdr:colOff>
      <xdr:row>30</xdr:row>
      <xdr:rowOff>0</xdr:rowOff>
    </xdr:to>
    <xdr:sp macro="" textlink="">
      <xdr:nvSpPr>
        <xdr:cNvPr id="3" name="Right Brace 2">
          <a:extLst>
            <a:ext uri="{FF2B5EF4-FFF2-40B4-BE49-F238E27FC236}">
              <a16:creationId xmlns:a16="http://schemas.microsoft.com/office/drawing/2014/main" id="{F796FA2F-3101-A242-BBDB-F826BA784ABF}"/>
            </a:ext>
          </a:extLst>
        </xdr:cNvPr>
        <xdr:cNvSpPr/>
      </xdr:nvSpPr>
      <xdr:spPr>
        <a:xfrm>
          <a:off x="7251700" y="5740400"/>
          <a:ext cx="241300" cy="5461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twoCellAnchor>
    <xdr:from>
      <xdr:col>4</xdr:col>
      <xdr:colOff>0</xdr:colOff>
      <xdr:row>35</xdr:row>
      <xdr:rowOff>0</xdr:rowOff>
    </xdr:from>
    <xdr:to>
      <xdr:col>5</xdr:col>
      <xdr:colOff>76200</xdr:colOff>
      <xdr:row>41</xdr:row>
      <xdr:rowOff>0</xdr:rowOff>
    </xdr:to>
    <xdr:sp macro="" textlink="">
      <xdr:nvSpPr>
        <xdr:cNvPr id="4" name="Right Brace 3">
          <a:extLst>
            <a:ext uri="{FF2B5EF4-FFF2-40B4-BE49-F238E27FC236}">
              <a16:creationId xmlns:a16="http://schemas.microsoft.com/office/drawing/2014/main" id="{5AEDE093-F714-CF40-9469-86749AE141DD}"/>
            </a:ext>
          </a:extLst>
        </xdr:cNvPr>
        <xdr:cNvSpPr/>
      </xdr:nvSpPr>
      <xdr:spPr>
        <a:xfrm>
          <a:off x="4800600" y="7239000"/>
          <a:ext cx="660400" cy="12192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twoCellAnchor>
    <xdr:from>
      <xdr:col>4</xdr:col>
      <xdr:colOff>0</xdr:colOff>
      <xdr:row>33</xdr:row>
      <xdr:rowOff>0</xdr:rowOff>
    </xdr:from>
    <xdr:to>
      <xdr:col>4</xdr:col>
      <xdr:colOff>495300</xdr:colOff>
      <xdr:row>34</xdr:row>
      <xdr:rowOff>12700</xdr:rowOff>
    </xdr:to>
    <xdr:sp macro="" textlink="">
      <xdr:nvSpPr>
        <xdr:cNvPr id="5" name="Right Brace 4">
          <a:extLst>
            <a:ext uri="{FF2B5EF4-FFF2-40B4-BE49-F238E27FC236}">
              <a16:creationId xmlns:a16="http://schemas.microsoft.com/office/drawing/2014/main" id="{860779FA-B7FD-1544-9919-9B99D00513FC}"/>
            </a:ext>
          </a:extLst>
        </xdr:cNvPr>
        <xdr:cNvSpPr/>
      </xdr:nvSpPr>
      <xdr:spPr>
        <a:xfrm>
          <a:off x="4800600" y="6858000"/>
          <a:ext cx="495300" cy="190500"/>
        </a:xfrm>
        <a:prstGeom prst="rightBrace">
          <a:avLst/>
        </a:prstGeom>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Cathal Egan" id="{9FF02379-EE10-1849-B6CE-E3BED1B6A45F}" userId="S::CEgan@affect-group.com::01542f8f-1afe-4f8b-927c-155188f5ca08"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9691B8-879C-6B4F-8925-C6DA4361DF53}" name="Table3" displayName="Table3" ref="B2:C6" totalsRowShown="0">
  <autoFilter ref="B2:C6" xr:uid="{F49691B8-879C-6B4F-8925-C6DA4361DF53}"/>
  <tableColumns count="2">
    <tableColumn id="1" xr3:uid="{66D2DDD6-E70C-AB4B-9B9B-FCDBAE127CF5}" name="WIN #" dataDxfId="87"/>
    <tableColumn id="2" xr3:uid="{6E7F215E-28F2-8949-97A9-B7BAB3B36EB4}" name="DESCRIPTION (TEXT NEEDS TO FIT IN THE COLUM WIDTH AND HEIGHT)" dataDxfId="8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320D05-7D24-474C-9B35-0D1087E786F8}" name="Table35" displayName="Table35" ref="B8:C12" totalsRowShown="0">
  <autoFilter ref="B8:C12" xr:uid="{84320D05-7D24-474C-9B35-0D1087E786F8}"/>
  <tableColumns count="2">
    <tableColumn id="1" xr3:uid="{1EDDDB2F-DD8A-0847-9CF3-E138E8AC8ABD}" name="WIN #" dataDxfId="85"/>
    <tableColumn id="2" xr3:uid="{7594EAFA-F6AB-654D-9F8B-6866797D79FE}" name="DESCRIPTION (TEXT NEEDS TO FIT IN THE COLUM WIDTH AND HEIGHT)" dataDxfId="84"/>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0F6555B-6648-724B-A9A6-8BCA8619E22E}" name="Table3714" displayName="Table3714" ref="C34:H39" totalsRowShown="0" headerRowDxfId="83" dataDxfId="82">
  <autoFilter ref="C34:H39" xr:uid="{80F6555B-6648-724B-A9A6-8BCA8619E22E}"/>
  <tableColumns count="6">
    <tableColumn id="1" xr3:uid="{013CF77E-696C-8E43-9870-C89659DBCC13}" name="SCHEDULE ITEM" dataDxfId="81"/>
    <tableColumn id="2" xr3:uid="{43AF6238-9454-B342-8738-260CE8D38A3F}" name="STATUS SUMMARY" dataDxfId="80"/>
    <tableColumn id="5" xr3:uid="{39A8BD61-88A0-D940-A6B6-D4124F79CF35}" name="CRITICAL DELAYS / VARIANCES" dataDxfId="79"/>
    <tableColumn id="4" xr3:uid="{EDA38B67-5185-3D47-AE9E-008F4E3D81BF}" name="RECOVERY PLAN" dataDxfId="78"/>
    <tableColumn id="3" xr3:uid="{B6A3BDCD-EC02-F947-9294-1211D4D7E606}" name="FORECAST IMPACT" dataDxfId="77"/>
    <tableColumn id="6" xr3:uid="{8588C41E-68FB-5045-9072-1A197DCF406D}" name="NOTES / ACTION ITEMS" dataDxfId="76"/>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A2E1C4-9376-D448-8479-DD056332CB0D}" name="Table5" displayName="Table5" ref="C3:M14" totalsRowShown="0" headerRowDxfId="75" dataDxfId="74">
  <autoFilter ref="C3:M14" xr:uid="{90A2E1C4-9376-D448-8479-DD056332CB0D}"/>
  <tableColumns count="11">
    <tableColumn id="2" xr3:uid="{02B6C599-B65D-1A42-92A6-42F667B64CA2}" name="TASK" dataDxfId="73"/>
    <tableColumn id="3" xr3:uid="{40E3B31D-D7CF-1446-9D4D-005F08F768B5}" name="CONTRACT START" dataDxfId="72"/>
    <tableColumn id="4" xr3:uid="{246D4D7C-219E-2E41-81BC-F57418C8110B}" name="CONTRACT FINISH" dataDxfId="71"/>
    <tableColumn id="5" xr3:uid="{6261021A-F3FD-394E-B78C-8F83EFB0F178}" name="BASELINE START" dataDxfId="70"/>
    <tableColumn id="6" xr3:uid="{E5EB3908-8DB7-5B4B-A593-78486A284F90}" name="BASELINE FINISH" dataDxfId="69"/>
    <tableColumn id="11" xr3:uid="{31CD5A90-3CF4-4A1B-844A-9B342DCD218B}" name="CURRENT START" dataDxfId="68"/>
    <tableColumn id="12" xr3:uid="{6DC3B54F-B21B-4FCE-B811-54F4A1BACA59}" name="CURRENT FINISH" dataDxfId="67"/>
    <tableColumn id="7" xr3:uid="{4EE58744-AB28-6949-96CC-9AA8DC04620D}" name="ACTUAL START" dataDxfId="66"/>
    <tableColumn id="8" xr3:uid="{5482B1DF-7292-A546-89B4-54D6BC532655}" name="ACTUAL FINISH" dataDxfId="65">
      <calculatedColumnFormula>Table5[[#This Row],[ACTUAL START]]+483</calculatedColumnFormula>
    </tableColumn>
    <tableColumn id="9" xr3:uid="{D11D00EC-8493-7743-A575-C67B55166023}" name="START VARIANCE" dataDxfId="64">
      <calculatedColumnFormula>F4-J4</calculatedColumnFormula>
    </tableColumn>
    <tableColumn id="10" xr3:uid="{AD6C21FA-2687-9F46-8254-E62AB4F679F2}" name="FINISH VARIANCE" dataDxfId="63">
      <calculatedColumnFormula>G4-K4</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E66F438-C523-544E-BFAE-51BBAB3FB722}" name="Table14" displayName="Table14" ref="C25:D30" totalsRowShown="0" headerRowDxfId="62" dataDxfId="61">
  <autoFilter ref="C25:D30" xr:uid="{BE66F438-C523-544E-BFAE-51BBAB3FB722}"/>
  <tableColumns count="2">
    <tableColumn id="1" xr3:uid="{4D2FBAA4-5E21-DC4D-B7AD-147A8CD51E67}" name="Company Name" dataDxfId="60"/>
    <tableColumn id="2" xr3:uid="{C0AE526C-E973-9344-9931-D782DA441ADC}" name="Avg Daily over past 30 days" dataDxfId="59"/>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3FB944-E03B-B24B-8F38-1590FA23D337}" name="Table37" displayName="Table37" ref="B2:G10" totalsRowShown="0" headerRowDxfId="58">
  <autoFilter ref="B2:G10" xr:uid="{F53FB944-E03B-B24B-8F38-1590FA23D337}"/>
  <tableColumns count="6">
    <tableColumn id="1" xr3:uid="{4AFB8668-8739-B04E-9D25-9C6FA74D71FA}" name="RISK #" dataDxfId="57"/>
    <tableColumn id="2" xr3:uid="{76D3EBCA-1A4F-294F-A015-9C31346211AA}" name="RISK DESCRIPTION" dataDxfId="56"/>
    <tableColumn id="5" xr3:uid="{CD5AF8D1-EF24-674A-B796-5848333A3E62}" name="IMPACT" dataDxfId="55"/>
    <tableColumn id="4" xr3:uid="{E13D41A1-5BBF-6144-BF5C-ABA328BC1370}" name="MITIGATION STRATEGY" dataDxfId="54"/>
    <tableColumn id="3" xr3:uid="{CA756571-7AC3-AE43-9C68-B0BB9BFD80AC}" name="OWNER" dataDxfId="53"/>
    <tableColumn id="6" xr3:uid="{98397FF5-AF97-794E-8DF7-1FF64D70AA80}" name="STATUS" dataDxfId="5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B0F57-AC26-044A-BDB7-5D6938FF2992}" name="Table1" displayName="Table1" ref="B2:F34" totalsRowShown="0" headerRowDxfId="51">
  <autoFilter ref="B2:F34" xr:uid="{4AFB0F57-AC26-044A-BDB7-5D6938FF2992}"/>
  <tableColumns count="5">
    <tableColumn id="1" xr3:uid="{56FFDF07-352F-DB45-81FB-2ADEB272694A}" name="MONTH #"/>
    <tableColumn id="2" xr3:uid="{3525398F-7478-3F49-B8CC-A71406CB5E50}" name="MONTH" dataDxfId="50"/>
    <tableColumn id="3" xr3:uid="{AF37C181-04C0-B247-B7DE-2A403B770946}" name="HOURS WORKED THIS PERIOD"/>
    <tableColumn id="8" xr3:uid="{D3F04E31-1103-9E44-A4D0-9232CFF9EE60}" name="RECORDABLE INCIDENTS THIS PERIOD"/>
    <tableColumn id="6" xr3:uid="{DB4A8002-EA28-6A47-A9A0-46C201977065}" name="ORIENTATIONS THIS PERIOD"/>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E8398D-2B39-6142-BC49-8CE6B19EC32F}" name="Table15" displayName="Table15" ref="H2:L27" totalsRowShown="0">
  <autoFilter ref="H2:L27" xr:uid="{ECE8398D-2B39-6142-BC49-8CE6B19EC32F}"/>
  <tableColumns count="5">
    <tableColumn id="1" xr3:uid="{09BFE75C-BF01-024A-8E30-8FF2EE3B801D}" name="VLN #" dataDxfId="49"/>
    <tableColumn id="2" xr3:uid="{62EF3DA8-A82A-9640-828D-2C696AFDABB1}" name="VLN Description" dataDxfId="48">
      <calculatedColumnFormula>COUNTA(C17:C35)</calculatedColumnFormula>
    </tableColumn>
    <tableColumn id="3" xr3:uid="{03E6EDE9-A516-874F-BD86-A4ED0814F0F6}" name="VLN Value"/>
    <tableColumn id="4" xr3:uid="{D84B3EFA-0B86-204C-9B85-0B82737F0AF7}" name="Status"/>
    <tableColumn id="5" xr3:uid="{C3768D02-F547-3A41-99A2-59D1D2F6FE4D}" name="VLN Value / Status" dataDxfId="47">
      <calculatedColumnFormula>SUM(F22:F35)</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38BCE85-4EDD-204C-83F1-1C070FEA86DA}" name="Table20" displayName="Table20" ref="B36:G41" totalsRowShown="0" headerRowDxfId="46" dataDxfId="45" headerRowBorderDxfId="43" tableBorderDxfId="44" totalsRowBorderDxfId="42">
  <autoFilter ref="B36:G41" xr:uid="{A38BCE85-4EDD-204C-83F1-1C070FEA86DA}"/>
  <tableColumns count="6">
    <tableColumn id="1" xr3:uid="{364C88AF-CDE2-3949-B7DE-3B14302D6969}" name="TIMEFRAME" dataDxfId="41"/>
    <tableColumn id="2" xr3:uid="{769C87AD-9861-8145-B6CA-183963328908}" name="CATEGORY" dataDxfId="40"/>
    <tableColumn id="3" xr3:uid="{F0E4450E-417D-FE4F-A56C-D1696417DDB5}" name="DESCRIPTION/ACTIVITY" dataDxfId="39"/>
    <tableColumn id="4" xr3:uid="{476F9AF8-67D7-5146-9099-360C747AABAB}" name="STATUS" dataDxfId="38"/>
    <tableColumn id="5" xr3:uid="{95A13B3A-16F6-1A45-AF74-B52403ED83A2}" name="NOTES/OUTCOME/ACTION" dataDxfId="37"/>
    <tableColumn id="6" xr3:uid="{504C0006-F78A-E64A-B7B7-69044762ACCF}" name="RESPONSIBL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B2B7B0-8071-144F-94BA-3EB3D12D146C}" name="Table18" displayName="Table18" ref="B2:E35" totalsRowShown="0" headerRowDxfId="35">
  <autoFilter ref="B2:E35" xr:uid="{9DB2B7B0-8071-144F-94BA-3EB3D12D146C}"/>
  <tableColumns count="4">
    <tableColumn id="1" xr3:uid="{8FF62791-BDA1-3645-8D90-E99D32FB948C}" name="MONTH #"/>
    <tableColumn id="2" xr3:uid="{C1BA974B-4A63-E641-87B8-4F35A28D1898}" name="MONTH" dataDxfId="34"/>
    <tableColumn id="3" xr3:uid="{4A21FE9D-8717-7548-AC16-294BA93F3D8B}" name="OBSERVATIONS THIS PERIOD"/>
    <tableColumn id="8" xr3:uid="{8F40C6E2-A40F-C545-8BBA-51E462704DE4}" name="PUNCHLIST ITEM THIS PERIOD"/>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92E883-53C6-B74E-809D-341AC0475746}" name="Table16" displayName="Table16" ref="B47:I57" totalsRowShown="0" headerRowDxfId="33" dataDxfId="32">
  <autoFilter ref="B47:I57" xr:uid="{B992E883-53C6-B74E-809D-341AC0475746}"/>
  <tableColumns count="8">
    <tableColumn id="1" xr3:uid="{EBC4F7D8-AB8F-4A4B-8E07-526CC3A818FF}" name="TIMEFRAME" dataDxfId="31"/>
    <tableColumn id="2" xr3:uid="{8A49F97C-573A-9343-A03F-5BDD423E65D7}" name="CATEGORY" dataDxfId="30"/>
    <tableColumn id="3" xr3:uid="{354610AF-2C56-364B-AD17-4F19D653FD1E}" name="DESCRIPTION" dataDxfId="29"/>
    <tableColumn id="4" xr3:uid="{515AB2C0-3DA5-1348-85C9-EB1BDC590AAE}" name="TRADE" dataDxfId="28"/>
    <tableColumn id="5" xr3:uid="{E9D42873-0D73-5949-B143-EE4762DE22B8}" name="STATUS" dataDxfId="27"/>
    <tableColumn id="6" xr3:uid="{999F5238-DAEF-AF4A-B114-ECE28EAA34D8}" name="OUTCOME / COMMENTS" dataDxfId="26"/>
    <tableColumn id="7" xr3:uid="{FD7F6E5A-73B1-0D4A-AA88-00588F6EAA19}" name="RESPONSIBLE" dataDxfId="25"/>
    <tableColumn id="8" xr3:uid="{9A66E80E-4E82-E349-ABD8-CE120B96F38E}" name="ACTION PLAN" dataDxfId="24"/>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4D7FDBB-3DAF-A748-9562-9924363AB4D3}" name="Table17" displayName="Table17" ref="C37:E44" totalsRowShown="0" headerRowBorderDxfId="22" tableBorderDxfId="23" totalsRowBorderDxfId="21">
  <autoFilter ref="C37:E44" xr:uid="{54D7FDBB-3DAF-A748-9562-9924363AB4D3}"/>
  <tableColumns count="3">
    <tableColumn id="1" xr3:uid="{0C3BBF70-EB9D-BE41-A9E2-7896EFC8D98E}" name="Column1" dataDxfId="20"/>
    <tableColumn id="2" xr3:uid="{B4D126CA-F7F2-0D44-A7B2-2CC142FC245A}" name="OBSERVATIONS" dataDxfId="19"/>
    <tableColumn id="3" xr3:uid="{0E9B3D40-73E9-5246-A5D9-3FA10C4ACB22}" name="PUNCHLIST" dataDxfId="18"/>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94E1A3F-094D-F544-BC31-323FE6434FF4}" name="Table22" displayName="Table22" ref="B2:D13" totalsRowShown="0" headerRowDxfId="17">
  <autoFilter ref="B2:D13" xr:uid="{F94E1A3F-094D-F544-BC31-323FE6434FF4}"/>
  <tableColumns count="3">
    <tableColumn id="1" xr3:uid="{EC75FD62-B61E-1543-8316-BBD8872338DC}" name="Trade"/>
    <tableColumn id="2" xr3:uid="{2DD4FFFE-DFB5-E440-8766-256AB4478051}" name="Open Critical RFIs" dataDxfId="16"/>
    <tableColumn id="3" xr3:uid="{D263A0E7-9165-4D48-9597-211B56215895}" name="Open Critical Submittals" dataDxfId="15"/>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E97B9D-B21D-C144-B83A-6A552DA0C6E2}" name="Table8" displayName="Table8" ref="B2:E15" totalsRowShown="0">
  <autoFilter ref="B2:E15" xr:uid="{BDE97B9D-B21D-C144-B83A-6A552DA0C6E2}"/>
  <tableColumns count="4">
    <tableColumn id="1" xr3:uid="{2D592EF5-EA5C-3C43-B42E-776BA38C4B7F}" name="DESCRIPTION"/>
    <tableColumn id="2" xr3:uid="{896094CE-38BE-D948-868C-1A02A2F4B4C5}" name="THIS PERIOD" dataDxfId="14"/>
    <tableColumn id="3" xr3:uid="{084672C6-AD8D-0347-B42F-984C3380B214}" name="LAST PERIOD" dataDxfId="13"/>
    <tableColumn id="5" xr3:uid="{177558E6-5E09-EE4C-B00B-4CE567FAD328}" name="&amp; DIF" dataDxfId="12">
      <calculatedColumnFormula>IF(Table8[[#This Row],[THIS PERIOD]]="N/A","",(Table8[[#This Row],[THIS PERIOD]]-D3)/D3)</calculatedColumnFormula>
    </tableColumn>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E07BE7D-7169-D141-A96A-FE5441E9D29D}" name="Table110" displayName="Table110" ref="H24:J56" totalsRowShown="0" headerRowDxfId="11">
  <autoFilter ref="H24:J56" xr:uid="{8E07BE7D-7169-D141-A96A-FE5441E9D29D}"/>
  <tableColumns count="3">
    <tableColumn id="1" xr3:uid="{83BBD3C1-FE8D-E04A-B112-B416DD34E23B}" name="MONTH #"/>
    <tableColumn id="2" xr3:uid="{BE2EB35E-96B8-8F44-9DDC-C79415571375}" name="MONTH" dataDxfId="10"/>
    <tableColumn id="3" xr3:uid="{D458D677-E682-3142-BDE6-A5990D910BDE}" name="OT HOURS WORKED THIS PERIOD"/>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07C7CA-19D1-EF41-A5E2-874E70AC5A22}" name="Table11011" displayName="Table11011" ref="B18:F21" totalsRowShown="0" headerRowDxfId="9">
  <autoFilter ref="B18:F21" xr:uid="{DC07C7CA-19D1-EF41-A5E2-874E70AC5A22}"/>
  <tableColumns count="5">
    <tableColumn id="2" xr3:uid="{13B2E71B-F0C0-5C44-A636-16E51925DFC6}" name="MONTH" dataDxfId="8"/>
    <tableColumn id="3" xr3:uid="{9BB70A2E-F7D9-2A49-9412-7382A22DAB4A}" name="BUDGET" dataDxfId="7"/>
    <tableColumn id="9" xr3:uid="{4950EFA1-8B0D-654F-9C4A-790877325303}" name="FORECAST" dataDxfId="6"/>
    <tableColumn id="1" xr3:uid="{D037CBAA-02CA-B846-9E86-6E0C434E70BA}" name="SPENT TO DATE2" dataDxfId="5"/>
    <tableColumn id="4" xr3:uid="{E67EA525-4FD0-8F4C-863B-B44B00090133}" name="STATUS" dataDxfId="4"/>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5A67DE-6EE6-954E-9034-1CD183C66FEE}" name="Table11012" displayName="Table11012" ref="B24:F56" totalsRowShown="0" headerRowDxfId="3">
  <autoFilter ref="B24:F56" xr:uid="{4C5A67DE-6EE6-954E-9034-1CD183C66FEE}"/>
  <tableColumns count="5">
    <tableColumn id="1" xr3:uid="{546C7188-60F8-4E42-94E6-E3F3CB4016A0}" name="MONTH #"/>
    <tableColumn id="2" xr3:uid="{DF980213-1681-6D49-B7D3-88540CB8370F}" name="MONTH" dataDxfId="2"/>
    <tableColumn id="3" xr3:uid="{861F91F0-4172-4C4F-99C9-F54F2806D946}" name="INVOICE SENT"/>
    <tableColumn id="9" xr3:uid="{80AF39CA-4F19-6A44-91B5-B77DB76231F8}" name="INVOICE PAID" dataDxfId="1"/>
    <tableColumn id="10" xr3:uid="{407F065C-6C70-604E-8560-5ED1BC9606CE}" name="DELTA" dataDxfId="0">
      <calculatedColumnFormula>Table11012[[#This Row],[INVOICE PAID]]-Table11012[[#This Row],[INVOICE SENT]]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U4" dT="2025-06-26T21:24:35.02" personId="{9FF02379-EE10-1849-B6CE-E3BED1B6A45F}" id="{3FE88E30-AAFF-7946-B891-F58A2E520001}">
    <text>Date needs to be first of the month to pull data.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7.bin"/><Relationship Id="rId4"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2.xml"/><Relationship Id="rId1" Type="http://schemas.openxmlformats.org/officeDocument/2006/relationships/printerSettings" Target="../printerSettings/printerSettings8.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FAC0-D1C0-E149-B878-BCC5DED9B3A6}">
  <dimension ref="B2:J29"/>
  <sheetViews>
    <sheetView workbookViewId="0">
      <selection activeCell="C18" sqref="C18:J18"/>
    </sheetView>
  </sheetViews>
  <sheetFormatPr defaultColWidth="10.5" defaultRowHeight="15.95"/>
  <cols>
    <col min="2" max="2" width="19.125" customWidth="1"/>
    <col min="3" max="5" width="23.375" customWidth="1"/>
  </cols>
  <sheetData>
    <row r="2" spans="2:10">
      <c r="B2" s="22" t="s">
        <v>0</v>
      </c>
      <c r="C2" s="565" t="s">
        <v>1</v>
      </c>
      <c r="D2" s="565"/>
      <c r="E2" s="565"/>
      <c r="F2" s="565"/>
      <c r="G2" s="565"/>
      <c r="H2" s="565"/>
      <c r="I2" s="565"/>
      <c r="J2" s="565"/>
    </row>
    <row r="3" spans="2:10">
      <c r="B3" s="321" t="s">
        <v>2</v>
      </c>
      <c r="C3" s="566" t="s">
        <v>3</v>
      </c>
      <c r="D3" s="566"/>
      <c r="E3" s="566"/>
      <c r="F3" s="566"/>
      <c r="G3" s="566"/>
      <c r="H3" s="566"/>
      <c r="I3" s="566"/>
      <c r="J3" s="566"/>
    </row>
    <row r="4" spans="2:10">
      <c r="B4" s="321"/>
      <c r="C4" s="566" t="s">
        <v>4</v>
      </c>
      <c r="D4" s="566"/>
      <c r="E4" s="566"/>
      <c r="F4" s="566"/>
      <c r="G4" s="566"/>
      <c r="H4" s="566"/>
      <c r="I4" s="566"/>
      <c r="J4" s="566"/>
    </row>
    <row r="5" spans="2:10">
      <c r="B5" s="321"/>
      <c r="C5" s="566" t="s">
        <v>5</v>
      </c>
      <c r="D5" s="566"/>
      <c r="E5" s="566"/>
      <c r="F5" s="566"/>
      <c r="G5" s="566"/>
      <c r="H5" s="566"/>
      <c r="I5" s="566"/>
      <c r="J5" s="566"/>
    </row>
    <row r="6" spans="2:10">
      <c r="B6" s="321"/>
      <c r="C6" s="566" t="s">
        <v>6</v>
      </c>
      <c r="D6" s="566"/>
      <c r="E6" s="566"/>
      <c r="F6" s="566"/>
      <c r="G6" s="566"/>
      <c r="H6" s="566"/>
      <c r="I6" s="566"/>
      <c r="J6" s="566"/>
    </row>
    <row r="7" spans="2:10">
      <c r="B7" s="22" t="s">
        <v>7</v>
      </c>
      <c r="C7" s="566" t="s">
        <v>8</v>
      </c>
      <c r="D7" s="566"/>
      <c r="E7" s="566"/>
      <c r="F7" s="566"/>
      <c r="G7" s="566"/>
      <c r="H7" s="566"/>
      <c r="I7" s="566"/>
      <c r="J7" s="566"/>
    </row>
    <row r="8" spans="2:10">
      <c r="B8" s="22" t="s">
        <v>9</v>
      </c>
      <c r="C8" s="325" t="s">
        <v>10</v>
      </c>
      <c r="D8" s="325"/>
      <c r="E8" s="325"/>
      <c r="F8" s="325"/>
      <c r="G8" s="325"/>
      <c r="H8" s="325"/>
      <c r="I8" s="325"/>
      <c r="J8" s="325"/>
    </row>
    <row r="9" spans="2:10">
      <c r="B9" s="22" t="s">
        <v>11</v>
      </c>
      <c r="C9" s="566" t="s">
        <v>12</v>
      </c>
      <c r="D9" s="566"/>
      <c r="E9" s="566"/>
      <c r="F9" s="566"/>
      <c r="G9" s="566"/>
      <c r="H9" s="566"/>
      <c r="I9" s="566"/>
      <c r="J9" s="566"/>
    </row>
    <row r="10" spans="2:10">
      <c r="B10" s="22" t="s">
        <v>13</v>
      </c>
      <c r="C10" s="566" t="s">
        <v>14</v>
      </c>
      <c r="D10" s="566"/>
      <c r="E10" s="566"/>
      <c r="F10" s="566"/>
      <c r="G10" s="566"/>
      <c r="H10" s="566"/>
      <c r="I10" s="566"/>
      <c r="J10" s="566"/>
    </row>
    <row r="11" spans="2:10">
      <c r="B11" s="22" t="s">
        <v>15</v>
      </c>
      <c r="C11" s="566" t="s">
        <v>16</v>
      </c>
      <c r="D11" s="566"/>
      <c r="E11" s="566"/>
      <c r="F11" s="566"/>
      <c r="G11" s="566"/>
      <c r="H11" s="566"/>
      <c r="I11" s="566"/>
      <c r="J11" s="566"/>
    </row>
    <row r="12" spans="2:10">
      <c r="B12" s="22" t="s">
        <v>17</v>
      </c>
      <c r="C12" s="566" t="s">
        <v>18</v>
      </c>
      <c r="D12" s="566"/>
      <c r="E12" s="566"/>
      <c r="F12" s="566"/>
      <c r="G12" s="566"/>
      <c r="H12" s="566"/>
      <c r="I12" s="566"/>
      <c r="J12" s="566"/>
    </row>
    <row r="13" spans="2:10">
      <c r="B13" s="22" t="s">
        <v>19</v>
      </c>
      <c r="C13" s="566" t="s">
        <v>20</v>
      </c>
      <c r="D13" s="566"/>
      <c r="E13" s="566"/>
      <c r="F13" s="566"/>
      <c r="G13" s="566"/>
      <c r="H13" s="566"/>
      <c r="I13" s="566"/>
      <c r="J13" s="566"/>
    </row>
    <row r="14" spans="2:10" ht="32.1" customHeight="1">
      <c r="B14" s="312" t="s">
        <v>21</v>
      </c>
      <c r="C14" s="322" t="s">
        <v>22</v>
      </c>
      <c r="D14" s="322"/>
      <c r="E14" s="322"/>
      <c r="F14" s="322"/>
      <c r="G14" s="322"/>
      <c r="H14" s="322"/>
      <c r="I14" s="322"/>
      <c r="J14" s="322"/>
    </row>
    <row r="15" spans="2:10">
      <c r="B15" s="313" t="s">
        <v>23</v>
      </c>
      <c r="C15" s="566" t="s">
        <v>24</v>
      </c>
      <c r="D15" s="566"/>
      <c r="E15" s="566"/>
      <c r="F15" s="566"/>
      <c r="G15" s="566"/>
      <c r="H15" s="566"/>
      <c r="I15" s="566"/>
      <c r="J15" s="566"/>
    </row>
    <row r="16" spans="2:10">
      <c r="B16" s="313" t="s">
        <v>25</v>
      </c>
      <c r="C16" s="566" t="s">
        <v>26</v>
      </c>
      <c r="D16" s="566"/>
      <c r="E16" s="566"/>
      <c r="F16" s="566"/>
      <c r="G16" s="566"/>
      <c r="H16" s="566"/>
      <c r="I16" s="566"/>
      <c r="J16" s="566"/>
    </row>
    <row r="17" spans="2:10">
      <c r="B17" s="313" t="s">
        <v>27</v>
      </c>
      <c r="C17" s="566" t="s">
        <v>28</v>
      </c>
      <c r="D17" s="566"/>
      <c r="E17" s="566"/>
      <c r="F17" s="566"/>
      <c r="G17" s="566"/>
      <c r="H17" s="566"/>
      <c r="I17" s="566"/>
      <c r="J17" s="566"/>
    </row>
    <row r="18" spans="2:10" ht="48" customHeight="1">
      <c r="B18" s="312" t="s">
        <v>29</v>
      </c>
      <c r="C18" s="322" t="s">
        <v>30</v>
      </c>
      <c r="D18" s="322"/>
      <c r="E18" s="322"/>
      <c r="F18" s="322"/>
      <c r="G18" s="322"/>
      <c r="H18" s="322"/>
      <c r="I18" s="322"/>
      <c r="J18" s="322"/>
    </row>
    <row r="20" spans="2:10">
      <c r="B20" s="20" t="s">
        <v>31</v>
      </c>
      <c r="C20" s="20" t="s">
        <v>32</v>
      </c>
      <c r="D20" s="20" t="s">
        <v>33</v>
      </c>
    </row>
    <row r="21" spans="2:10">
      <c r="B21" s="19" t="s">
        <v>34</v>
      </c>
      <c r="C21" s="323" t="s">
        <v>35</v>
      </c>
      <c r="D21" s="324"/>
    </row>
    <row r="22" spans="2:10">
      <c r="B22" s="19" t="s">
        <v>36</v>
      </c>
      <c r="C22" s="19" t="s">
        <v>37</v>
      </c>
      <c r="D22" s="19" t="s">
        <v>38</v>
      </c>
    </row>
    <row r="23" spans="2:10">
      <c r="B23" s="19" t="s">
        <v>39</v>
      </c>
      <c r="C23" s="19" t="s">
        <v>37</v>
      </c>
      <c r="D23" s="19" t="s">
        <v>38</v>
      </c>
    </row>
    <row r="24" spans="2:10">
      <c r="B24" s="19" t="s">
        <v>40</v>
      </c>
      <c r="C24" s="19" t="s">
        <v>37</v>
      </c>
      <c r="D24" s="19" t="s">
        <v>38</v>
      </c>
    </row>
    <row r="25" spans="2:10">
      <c r="B25" s="19" t="s">
        <v>41</v>
      </c>
      <c r="C25" s="19" t="s">
        <v>37</v>
      </c>
      <c r="D25" s="19" t="s">
        <v>38</v>
      </c>
    </row>
    <row r="26" spans="2:10">
      <c r="B26" s="19" t="s">
        <v>42</v>
      </c>
      <c r="C26" s="19" t="s">
        <v>37</v>
      </c>
      <c r="D26" s="19" t="s">
        <v>38</v>
      </c>
    </row>
    <row r="27" spans="2:10">
      <c r="B27" s="19" t="s">
        <v>43</v>
      </c>
      <c r="C27" s="19" t="s">
        <v>37</v>
      </c>
      <c r="D27" s="19" t="s">
        <v>38</v>
      </c>
    </row>
    <row r="28" spans="2:10">
      <c r="B28" s="19" t="s">
        <v>44</v>
      </c>
      <c r="C28" s="19" t="s">
        <v>45</v>
      </c>
      <c r="D28" s="19" t="s">
        <v>46</v>
      </c>
    </row>
    <row r="29" spans="2:10">
      <c r="B29" s="19" t="s">
        <v>47</v>
      </c>
      <c r="C29" s="19" t="s">
        <v>48</v>
      </c>
      <c r="D29" s="19" t="s">
        <v>49</v>
      </c>
    </row>
  </sheetData>
  <mergeCells count="19">
    <mergeCell ref="C21:D21"/>
    <mergeCell ref="C13:J13"/>
    <mergeCell ref="C15:J15"/>
    <mergeCell ref="C18:J18"/>
    <mergeCell ref="C8:J8"/>
    <mergeCell ref="C11:J11"/>
    <mergeCell ref="C7:J7"/>
    <mergeCell ref="C12:J12"/>
    <mergeCell ref="C17:J17"/>
    <mergeCell ref="C16:J16"/>
    <mergeCell ref="C14:J14"/>
    <mergeCell ref="C9:J9"/>
    <mergeCell ref="C10:J10"/>
    <mergeCell ref="B3:B6"/>
    <mergeCell ref="C2:J2"/>
    <mergeCell ref="C3:J3"/>
    <mergeCell ref="C4:J4"/>
    <mergeCell ref="C5:J5"/>
    <mergeCell ref="C6:J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79C3-71BF-804D-98C2-1B65B7E1A493}">
  <sheetPr>
    <pageSetUpPr fitToPage="1"/>
  </sheetPr>
  <dimension ref="A1:BA94"/>
  <sheetViews>
    <sheetView tabSelected="1" view="pageBreakPreview" zoomScale="62" zoomScaleNormal="100" zoomScaleSheetLayoutView="70" zoomScalePageLayoutView="90" workbookViewId="0">
      <selection activeCell="C71" sqref="C71:G71"/>
    </sheetView>
  </sheetViews>
  <sheetFormatPr defaultColWidth="10.5" defaultRowHeight="15.95"/>
  <cols>
    <col min="1" max="1" width="3.375" style="2" customWidth="1"/>
    <col min="2" max="2" width="1.875" style="2" customWidth="1"/>
    <col min="3" max="3" width="2.5" style="2" customWidth="1"/>
    <col min="4" max="7" width="10.875" style="2" customWidth="1"/>
    <col min="8" max="8" width="1.875" style="2" customWidth="1"/>
    <col min="9" max="9" width="3.375" style="2" customWidth="1"/>
    <col min="10" max="10" width="2" style="2" customWidth="1"/>
    <col min="11" max="11" width="1.5" style="2" customWidth="1"/>
    <col min="12" max="12" width="11.5" style="2" customWidth="1"/>
    <col min="13" max="13" width="12.875" style="2" customWidth="1"/>
    <col min="14" max="14" width="4" style="2" customWidth="1"/>
    <col min="15" max="15" width="13.625" style="2" customWidth="1"/>
    <col min="16" max="16" width="12.375" style="2" customWidth="1"/>
    <col min="17" max="19" width="3.375" style="2" customWidth="1"/>
    <col min="20" max="20" width="11.5" style="2" customWidth="1"/>
    <col min="21" max="21" width="1.5" style="2" customWidth="1"/>
    <col min="22" max="22" width="11.5" style="2" customWidth="1"/>
    <col min="23" max="23" width="1.375" style="2" customWidth="1"/>
    <col min="24" max="24" width="1.875" style="2" customWidth="1"/>
    <col min="25" max="25" width="1.375" style="2" customWidth="1"/>
    <col min="26" max="26" width="12.875" style="2" customWidth="1"/>
    <col min="27" max="27" width="17.625" style="2" customWidth="1"/>
    <col min="28" max="28" width="1.5" style="2" customWidth="1"/>
    <col min="29" max="29" width="2" style="2" customWidth="1"/>
    <col min="30" max="30" width="1.5" style="2" customWidth="1"/>
    <col min="31" max="31" width="12.875" style="2" customWidth="1"/>
    <col min="32" max="32" width="8.875" style="2" customWidth="1"/>
    <col min="33" max="33" width="1.125" style="2" customWidth="1"/>
    <col min="34" max="34" width="4.5" style="2" customWidth="1"/>
    <col min="35" max="35" width="4.125" style="2" customWidth="1"/>
    <col min="36" max="36" width="4.5" style="2" customWidth="1"/>
    <col min="37" max="37" width="1.125" style="2" customWidth="1"/>
    <col min="38" max="38" width="12.625" style="2" customWidth="1"/>
    <col min="39" max="39" width="12.125" style="2" customWidth="1"/>
    <col min="40" max="40" width="1.5" style="2" customWidth="1"/>
    <col min="41" max="41" width="1.875" style="2" customWidth="1"/>
    <col min="42" max="42" width="3.375" style="2" customWidth="1"/>
    <col min="43" max="43" width="1.625" style="2" customWidth="1"/>
    <col min="44" max="44" width="5.125" style="2" customWidth="1"/>
    <col min="45" max="45" width="16.625" style="2" customWidth="1"/>
    <col min="46" max="46" width="19.375" style="2" customWidth="1"/>
    <col min="47" max="47" width="19.5" style="2" customWidth="1"/>
    <col min="48" max="48" width="12.125" style="2" customWidth="1"/>
    <col min="49" max="49" width="1.625" style="2" customWidth="1"/>
    <col min="50" max="50" width="2.625" style="2" customWidth="1"/>
    <col min="51" max="16384" width="10.5" style="2"/>
  </cols>
  <sheetData>
    <row r="1" spans="1:53" ht="6.95" customHeight="1">
      <c r="AU1" s="161"/>
    </row>
    <row r="2" spans="1:53" ht="21.95" customHeight="1">
      <c r="B2" s="422" t="s">
        <v>50</v>
      </c>
      <c r="C2" s="422"/>
      <c r="D2" s="422"/>
      <c r="E2" s="422"/>
      <c r="F2" s="422"/>
      <c r="G2" s="422"/>
      <c r="H2" s="422"/>
      <c r="I2" s="422"/>
      <c r="J2" s="422"/>
      <c r="K2" s="422"/>
      <c r="L2" s="422"/>
      <c r="M2" s="162"/>
      <c r="N2" s="162"/>
      <c r="O2" s="162"/>
      <c r="P2" s="162"/>
      <c r="Q2" s="162"/>
      <c r="R2" s="9"/>
      <c r="S2" s="9"/>
      <c r="T2" s="9"/>
      <c r="U2" s="1"/>
      <c r="V2" s="9"/>
      <c r="W2" s="9"/>
      <c r="Y2" s="9"/>
      <c r="Z2" s="9"/>
      <c r="AL2" s="3"/>
      <c r="AM2" s="3"/>
      <c r="AN2" s="1"/>
      <c r="AU2" s="59" t="e" vm="1">
        <v>#VALUE!</v>
      </c>
      <c r="AV2" s="34"/>
      <c r="AW2" s="34"/>
    </row>
    <row r="3" spans="1:53" ht="12.95" customHeight="1">
      <c r="A3" s="10"/>
      <c r="B3" s="422"/>
      <c r="C3" s="422"/>
      <c r="D3" s="422"/>
      <c r="E3" s="422"/>
      <c r="F3" s="422"/>
      <c r="G3" s="422"/>
      <c r="H3" s="422"/>
      <c r="I3" s="422"/>
      <c r="J3" s="422"/>
      <c r="K3" s="422"/>
      <c r="L3" s="422"/>
      <c r="M3" s="162"/>
      <c r="N3" s="162"/>
      <c r="O3" s="162"/>
      <c r="P3" s="162"/>
      <c r="Q3" s="162"/>
      <c r="R3" s="9"/>
      <c r="S3" s="9"/>
      <c r="T3" s="9"/>
      <c r="U3" s="3"/>
      <c r="V3" s="9"/>
      <c r="W3" s="9"/>
      <c r="Y3" s="9"/>
      <c r="Z3" s="9"/>
      <c r="AL3" s="3"/>
      <c r="AM3" s="3"/>
      <c r="AN3" s="3"/>
      <c r="AU3" s="146"/>
    </row>
    <row r="4" spans="1:53" ht="15.95" customHeight="1">
      <c r="A4" s="10"/>
      <c r="B4" s="422"/>
      <c r="C4" s="422"/>
      <c r="D4" s="422"/>
      <c r="E4" s="422"/>
      <c r="F4" s="422"/>
      <c r="G4" s="422"/>
      <c r="H4" s="422"/>
      <c r="I4" s="422"/>
      <c r="J4" s="422"/>
      <c r="K4" s="422"/>
      <c r="L4" s="422"/>
      <c r="M4" s="162"/>
      <c r="N4" s="162"/>
      <c r="O4" s="162"/>
      <c r="P4" s="162"/>
      <c r="Q4" s="162"/>
      <c r="R4" s="9"/>
      <c r="S4" s="9"/>
      <c r="T4" s="9"/>
      <c r="U4" s="11"/>
      <c r="V4" s="9"/>
      <c r="W4" s="9"/>
      <c r="Y4" s="9"/>
      <c r="Z4" s="9"/>
      <c r="AL4" s="11"/>
      <c r="AM4" s="11"/>
      <c r="AN4" s="11"/>
      <c r="AU4" s="60">
        <v>45778</v>
      </c>
      <c r="AV4" s="90"/>
      <c r="AW4" s="90"/>
    </row>
    <row r="5" spans="1:53" ht="3" customHeight="1">
      <c r="A5" s="10"/>
      <c r="B5" s="133"/>
      <c r="C5" s="133"/>
      <c r="D5" s="133"/>
      <c r="E5" s="133"/>
      <c r="F5" s="133"/>
      <c r="G5" s="133"/>
      <c r="H5" s="133"/>
      <c r="I5" s="10"/>
      <c r="J5" s="133"/>
      <c r="K5" s="133"/>
      <c r="L5" s="133"/>
      <c r="M5" s="133"/>
      <c r="N5" s="133"/>
      <c r="O5" s="133"/>
      <c r="P5" s="133"/>
      <c r="Q5" s="133"/>
      <c r="R5" s="130"/>
      <c r="S5" s="130"/>
      <c r="T5" s="130"/>
      <c r="U5" s="132"/>
      <c r="V5" s="130"/>
      <c r="W5" s="130"/>
      <c r="X5" s="122"/>
      <c r="Y5" s="130"/>
      <c r="Z5" s="130"/>
      <c r="AA5" s="122"/>
      <c r="AB5" s="122"/>
      <c r="AC5" s="122"/>
      <c r="AD5" s="122"/>
      <c r="AE5" s="122"/>
      <c r="AF5" s="122"/>
      <c r="AG5" s="122"/>
      <c r="AH5" s="122"/>
      <c r="AI5" s="122"/>
      <c r="AJ5" s="122"/>
      <c r="AK5" s="122"/>
      <c r="AL5" s="131"/>
      <c r="AM5" s="131"/>
      <c r="AN5" s="132"/>
      <c r="AO5" s="122"/>
      <c r="AQ5" s="122"/>
      <c r="AR5" s="122"/>
      <c r="AS5" s="122"/>
      <c r="AT5" s="122"/>
      <c r="AU5" s="146"/>
      <c r="AW5" s="122"/>
    </row>
    <row r="6" spans="1:53" ht="3.95" customHeight="1">
      <c r="A6" s="125"/>
      <c r="B6" s="206"/>
      <c r="C6" s="206"/>
      <c r="D6" s="206"/>
      <c r="E6" s="206"/>
      <c r="F6" s="206"/>
      <c r="G6" s="206"/>
      <c r="H6" s="169"/>
      <c r="J6" s="81"/>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128"/>
      <c r="AP6" s="129"/>
      <c r="AQ6" s="91"/>
      <c r="AR6" s="91"/>
      <c r="AS6" s="91"/>
      <c r="AT6" s="91"/>
      <c r="AU6" s="146"/>
      <c r="AV6" s="170"/>
      <c r="AW6" s="91"/>
    </row>
    <row r="7" spans="1:53" ht="17.100000000000001" customHeight="1">
      <c r="A7" s="125"/>
      <c r="B7" s="442" t="s">
        <v>51</v>
      </c>
      <c r="C7" s="443"/>
      <c r="D7" s="443"/>
      <c r="E7" s="443"/>
      <c r="F7" s="443"/>
      <c r="G7" s="443"/>
      <c r="H7" s="444"/>
      <c r="J7" s="408" t="s">
        <v>52</v>
      </c>
      <c r="K7" s="409"/>
      <c r="L7" s="409"/>
      <c r="M7" s="409"/>
      <c r="N7" s="409"/>
      <c r="O7" s="409"/>
      <c r="P7" s="409"/>
      <c r="Q7" s="409"/>
      <c r="R7" s="409"/>
      <c r="S7" s="409"/>
      <c r="T7" s="409"/>
      <c r="U7" s="409"/>
      <c r="V7" s="409"/>
      <c r="W7" s="409"/>
      <c r="X7" s="409"/>
      <c r="Y7" s="409"/>
      <c r="Z7" s="409"/>
      <c r="AA7" s="409"/>
      <c r="AB7" s="409"/>
      <c r="AC7" s="409"/>
      <c r="AD7" s="409"/>
      <c r="AE7" s="409"/>
      <c r="AF7" s="409"/>
      <c r="AG7" s="409"/>
      <c r="AH7" s="409"/>
      <c r="AI7" s="409"/>
      <c r="AJ7" s="409"/>
      <c r="AK7" s="409"/>
      <c r="AL7" s="409"/>
      <c r="AM7" s="409"/>
      <c r="AN7" s="409"/>
      <c r="AO7" s="410"/>
      <c r="AP7" s="129"/>
      <c r="AQ7" s="376" t="s">
        <v>53</v>
      </c>
      <c r="AR7" s="376"/>
      <c r="AS7" s="376"/>
      <c r="AT7" s="376"/>
      <c r="AU7" s="376"/>
      <c r="AV7" s="376"/>
      <c r="AW7" s="376"/>
    </row>
    <row r="8" spans="1:53" ht="17.100000000000001" customHeight="1">
      <c r="B8" s="4"/>
      <c r="H8" s="5"/>
      <c r="J8" s="4"/>
      <c r="Q8" s="407" t="s">
        <v>54</v>
      </c>
      <c r="R8" s="407"/>
      <c r="S8" s="407"/>
      <c r="AO8" s="5"/>
      <c r="AQ8" s="61"/>
      <c r="AR8" s="121"/>
      <c r="AS8" s="121"/>
      <c r="AT8" s="121"/>
      <c r="AU8" s="121"/>
      <c r="AV8" s="121"/>
      <c r="AW8" s="152"/>
    </row>
    <row r="9" spans="1:53" ht="17.100000000000001" customHeight="1">
      <c r="B9" s="4"/>
      <c r="C9" s="451" t="str">
        <f>IF(WINS!C3=0," ",WINS!C3)</f>
        <v>Topped Out Superstructure</v>
      </c>
      <c r="D9" s="452"/>
      <c r="E9" s="452"/>
      <c r="F9" s="452"/>
      <c r="G9" s="453"/>
      <c r="H9" s="5"/>
      <c r="J9" s="4"/>
      <c r="M9" s="76" t="s">
        <v>55</v>
      </c>
      <c r="N9" s="77"/>
      <c r="O9" s="78" t="s">
        <v>56</v>
      </c>
      <c r="P9" s="79" t="s">
        <v>57</v>
      </c>
      <c r="Q9" s="407"/>
      <c r="R9" s="407"/>
      <c r="S9" s="407"/>
      <c r="T9" s="79" t="s">
        <v>58</v>
      </c>
      <c r="U9" s="66"/>
      <c r="V9" s="67"/>
      <c r="W9" s="67"/>
      <c r="X9" s="67"/>
      <c r="Y9" s="67"/>
      <c r="Z9" s="67"/>
      <c r="AA9" s="67"/>
      <c r="AB9" s="67"/>
      <c r="AC9" s="67"/>
      <c r="AD9" s="67"/>
      <c r="AE9" s="67"/>
      <c r="AF9" s="67"/>
      <c r="AG9" s="67"/>
      <c r="AH9" s="67"/>
      <c r="AI9" s="67"/>
      <c r="AJ9" s="67"/>
      <c r="AK9" s="67"/>
      <c r="AL9" s="67"/>
      <c r="AM9" s="67"/>
      <c r="AN9" s="88"/>
      <c r="AO9" s="5"/>
      <c r="AQ9" s="4"/>
      <c r="AR9" s="424" t="s">
        <v>59</v>
      </c>
      <c r="AS9" s="424"/>
      <c r="AT9" s="147">
        <f>FINANCIALS!C3</f>
        <v>8800000</v>
      </c>
      <c r="AU9" s="151" t="s">
        <v>60</v>
      </c>
      <c r="AW9" s="153"/>
      <c r="BA9" s="310"/>
    </row>
    <row r="10" spans="1:53" ht="17.100000000000001" customHeight="1">
      <c r="B10" s="4"/>
      <c r="C10" s="454"/>
      <c r="D10" s="418"/>
      <c r="E10" s="418"/>
      <c r="F10" s="418"/>
      <c r="G10" s="455"/>
      <c r="H10" s="5"/>
      <c r="J10" s="4"/>
      <c r="L10" s="16" t="s">
        <v>61</v>
      </c>
      <c r="M10" s="38">
        <f>SCHEDULE!D4</f>
        <v>45666</v>
      </c>
      <c r="N10" s="12"/>
      <c r="O10" s="40">
        <f>SCHEDULE!E4</f>
        <v>46149</v>
      </c>
      <c r="P10" s="69">
        <f>+SCHEDULE!E22</f>
        <v>0</v>
      </c>
      <c r="Q10" s="65"/>
      <c r="R10" s="65"/>
      <c r="S10" s="65"/>
      <c r="U10" s="68"/>
      <c r="V10" s="399" t="str">
        <f>+Table3714[[#Headers],[STATUS SUMMARY]]</f>
        <v>STATUS SUMMARY</v>
      </c>
      <c r="W10" s="401" t="str">
        <f>+SCHEDULE!E34</f>
        <v>CRITICAL DELAYS / VARIANCES</v>
      </c>
      <c r="X10" s="402"/>
      <c r="Y10" s="402"/>
      <c r="Z10" s="402"/>
      <c r="AA10" s="403"/>
      <c r="AB10" s="401" t="str">
        <f>+SCHEDULE!F34</f>
        <v>RECOVERY PLAN</v>
      </c>
      <c r="AC10" s="402"/>
      <c r="AD10" s="402"/>
      <c r="AE10" s="402"/>
      <c r="AF10" s="403"/>
      <c r="AG10" s="401" t="str">
        <f>+SCHEDULE!G34</f>
        <v>FORECAST IMPACT</v>
      </c>
      <c r="AH10" s="402"/>
      <c r="AI10" s="402"/>
      <c r="AJ10" s="402"/>
      <c r="AK10" s="403"/>
      <c r="AL10" s="401" t="str">
        <f>+SCHEDULE!H34</f>
        <v>NOTES / ACTION ITEMS</v>
      </c>
      <c r="AM10" s="403"/>
      <c r="AN10" s="84"/>
      <c r="AO10" s="5"/>
      <c r="AQ10" s="4"/>
      <c r="AR10" s="424" t="s">
        <v>62</v>
      </c>
      <c r="AS10" s="424"/>
      <c r="AT10" s="147">
        <f>FINANCIALS!C4</f>
        <v>9116960.4800000004</v>
      </c>
      <c r="AU10" s="151">
        <f>FINANCIALS!E4</f>
        <v>1.1387166165630198E-2</v>
      </c>
      <c r="AW10" s="153"/>
    </row>
    <row r="11" spans="1:53" ht="17.100000000000001" customHeight="1">
      <c r="B11" s="4"/>
      <c r="C11" s="454"/>
      <c r="D11" s="418"/>
      <c r="E11" s="418"/>
      <c r="F11" s="418"/>
      <c r="G11" s="455"/>
      <c r="H11" s="5"/>
      <c r="J11" s="4"/>
      <c r="L11" s="16" t="s">
        <v>63</v>
      </c>
      <c r="M11" s="38">
        <f>SCHEDULE!F4</f>
        <v>45665</v>
      </c>
      <c r="N11" s="17"/>
      <c r="O11" s="40">
        <f>+SCHEDULE!G14</f>
        <v>46198</v>
      </c>
      <c r="P11" s="69">
        <f>+SCHEDULE!G22</f>
        <v>0</v>
      </c>
      <c r="Q11" s="415" t="str">
        <f>+IF(SCHEDULE!G16=0," ",SCHEDULE!G16)</f>
        <v>🔴 N</v>
      </c>
      <c r="R11" s="416"/>
      <c r="S11" s="417"/>
      <c r="T11" s="113" t="str">
        <f>+IF(SCHEDULE!G17=0," ",SCHEDULE!G17)</f>
        <v>Rev#1</v>
      </c>
      <c r="U11" s="68"/>
      <c r="V11" s="400"/>
      <c r="W11" s="404"/>
      <c r="X11" s="405"/>
      <c r="Y11" s="405"/>
      <c r="Z11" s="405"/>
      <c r="AA11" s="406"/>
      <c r="AB11" s="404"/>
      <c r="AC11" s="405"/>
      <c r="AD11" s="405"/>
      <c r="AE11" s="405"/>
      <c r="AF11" s="406"/>
      <c r="AG11" s="404"/>
      <c r="AH11" s="405"/>
      <c r="AI11" s="405"/>
      <c r="AJ11" s="405"/>
      <c r="AK11" s="406"/>
      <c r="AL11" s="404"/>
      <c r="AM11" s="406"/>
      <c r="AN11" s="84"/>
      <c r="AO11" s="5"/>
      <c r="AQ11" s="4"/>
      <c r="AR11" s="424" t="s">
        <v>64</v>
      </c>
      <c r="AS11" s="424"/>
      <c r="AT11" s="148">
        <f>(AT10-AT9)/AT9</f>
        <v>3.6018236363636415E-2</v>
      </c>
      <c r="AU11" s="151"/>
      <c r="AW11" s="154"/>
      <c r="AZ11" s="308"/>
    </row>
    <row r="12" spans="1:53" ht="17.100000000000001" customHeight="1">
      <c r="B12" s="4"/>
      <c r="C12" s="454"/>
      <c r="D12" s="418"/>
      <c r="E12" s="418"/>
      <c r="F12" s="418"/>
      <c r="G12" s="455"/>
      <c r="H12" s="5"/>
      <c r="J12" s="4"/>
      <c r="L12" s="459" t="s">
        <v>65</v>
      </c>
      <c r="M12" s="460">
        <f>+SCHEDULE!H4</f>
        <v>45665</v>
      </c>
      <c r="N12" s="29"/>
      <c r="O12" s="461">
        <f>+SCHEDULE!I4</f>
        <v>46198</v>
      </c>
      <c r="P12" s="462">
        <f>+SCHEDULE!I22</f>
        <v>0</v>
      </c>
      <c r="Q12" s="15"/>
      <c r="R12" s="15"/>
      <c r="S12" s="15"/>
      <c r="U12" s="68"/>
      <c r="V12" s="370" t="str">
        <f>+SCHEDULE!D35</f>
        <v>🔴 At Risk</v>
      </c>
      <c r="W12" s="356" t="str">
        <f>SCHEDULE!E35</f>
        <v>[List specific issues: e.g., delayed delivery, inspections, manpower shortage]</v>
      </c>
      <c r="X12" s="357"/>
      <c r="Y12" s="357"/>
      <c r="Z12" s="357"/>
      <c r="AA12" s="358"/>
      <c r="AB12" s="356" t="str">
        <f>SCHEDULE!F35</f>
        <v>[Explain steps being taken: e.g., OT, resequencing, adding crews]</v>
      </c>
      <c r="AC12" s="357"/>
      <c r="AD12" s="357"/>
      <c r="AE12" s="357"/>
      <c r="AF12" s="358"/>
      <c r="AG12" s="362" t="str">
        <f>SCHEDULE!G35</f>
        <v>[Impact to key milestones or turnover]</v>
      </c>
      <c r="AH12" s="363"/>
      <c r="AI12" s="363"/>
      <c r="AJ12" s="363"/>
      <c r="AK12" s="364"/>
      <c r="AL12" s="356" t="str">
        <f>SCHEDULE!H35</f>
        <v>[Escalations, decisions needed, risks to monitor]</v>
      </c>
      <c r="AM12" s="358"/>
      <c r="AN12" s="84"/>
      <c r="AO12" s="5"/>
      <c r="AQ12" s="4"/>
      <c r="AR12" s="424" t="s">
        <v>66</v>
      </c>
      <c r="AS12" s="424"/>
      <c r="AT12" s="149">
        <f>FINANCIALS!C5</f>
        <v>84328.46</v>
      </c>
      <c r="AU12" s="151">
        <f>FINANCIALS!E5</f>
        <v>-0.64112952851908422</v>
      </c>
      <c r="AW12" s="125"/>
    </row>
    <row r="13" spans="1:53" ht="17.100000000000001" customHeight="1">
      <c r="B13" s="4"/>
      <c r="C13" s="456"/>
      <c r="D13" s="457"/>
      <c r="E13" s="457"/>
      <c r="F13" s="457"/>
      <c r="G13" s="458"/>
      <c r="H13" s="5"/>
      <c r="J13" s="4"/>
      <c r="L13" s="459"/>
      <c r="M13" s="460"/>
      <c r="N13" s="29"/>
      <c r="O13" s="461"/>
      <c r="P13" s="462"/>
      <c r="Q13" s="15"/>
      <c r="R13" s="15"/>
      <c r="S13" s="15"/>
      <c r="U13" s="68"/>
      <c r="V13" s="371"/>
      <c r="W13" s="359"/>
      <c r="X13" s="360"/>
      <c r="Y13" s="360"/>
      <c r="Z13" s="360"/>
      <c r="AA13" s="361"/>
      <c r="AB13" s="359"/>
      <c r="AC13" s="360"/>
      <c r="AD13" s="360"/>
      <c r="AE13" s="360"/>
      <c r="AF13" s="361"/>
      <c r="AG13" s="365"/>
      <c r="AH13" s="366"/>
      <c r="AI13" s="366"/>
      <c r="AJ13" s="366"/>
      <c r="AK13" s="367"/>
      <c r="AL13" s="359"/>
      <c r="AM13" s="361"/>
      <c r="AN13" s="84"/>
      <c r="AO13" s="5"/>
      <c r="AQ13" s="4"/>
      <c r="AR13" s="424" t="s">
        <v>67</v>
      </c>
      <c r="AS13" s="424"/>
      <c r="AT13" s="136" t="str">
        <f>FINANCIALS!C9</f>
        <v>N/A</v>
      </c>
      <c r="AW13" s="153"/>
    </row>
    <row r="14" spans="1:53" ht="17.100000000000001" customHeight="1">
      <c r="B14" s="4"/>
      <c r="C14" s="43"/>
      <c r="D14" s="43"/>
      <c r="E14" s="43"/>
      <c r="F14" s="43"/>
      <c r="G14" s="43"/>
      <c r="H14" s="5"/>
      <c r="J14" s="4"/>
      <c r="L14" s="16" t="s">
        <v>68</v>
      </c>
      <c r="M14" s="39">
        <f>SCHEDULE!J4</f>
        <v>45665</v>
      </c>
      <c r="N14" s="37"/>
      <c r="O14" s="41" t="str">
        <f>IF(SCHEDULE!K14="NA","TBD",SCHEDULE!K14)</f>
        <v>TBD</v>
      </c>
      <c r="P14" s="69" t="str">
        <f>+SCHEDULE!K22</f>
        <v>TBD</v>
      </c>
      <c r="R14" s="479"/>
      <c r="S14" s="479"/>
      <c r="T14" s="480"/>
      <c r="U14" s="68"/>
      <c r="V14" s="370" t="str">
        <f>+SCHEDULE!D36</f>
        <v>🔴 At Risk</v>
      </c>
      <c r="W14" s="356" t="str">
        <f>SCHEDULE!E36</f>
        <v>[List specific issues: e.g., delayed delivery, inspections, manpower shortage]</v>
      </c>
      <c r="X14" s="357"/>
      <c r="Y14" s="357"/>
      <c r="Z14" s="357"/>
      <c r="AA14" s="358"/>
      <c r="AB14" s="356" t="str">
        <f>SCHEDULE!F36</f>
        <v>[Explain steps being taken: e.g., OT, resequencing, adding crews]</v>
      </c>
      <c r="AC14" s="357"/>
      <c r="AD14" s="357"/>
      <c r="AE14" s="357"/>
      <c r="AF14" s="358"/>
      <c r="AG14" s="362" t="str">
        <f>SCHEDULE!G36</f>
        <v>[Impact to key milestones or turnover]</v>
      </c>
      <c r="AH14" s="363"/>
      <c r="AI14" s="363"/>
      <c r="AJ14" s="363"/>
      <c r="AK14" s="364"/>
      <c r="AL14" s="356" t="str">
        <f>SCHEDULE!H36</f>
        <v>[Escalations, decisions needed, risks to monitor]</v>
      </c>
      <c r="AM14" s="358"/>
      <c r="AN14" s="84"/>
      <c r="AO14" s="5"/>
      <c r="AQ14" s="4"/>
      <c r="AR14" s="424" t="s">
        <v>69</v>
      </c>
      <c r="AS14" s="424"/>
      <c r="AT14" s="136" t="str">
        <f>TEXT(FINANCIALS!C11,"$#,##0.0") &amp; " / " &amp; TEXT(FINANCIALS!C11/FINANCIALS!C4,"0.0%")</f>
        <v>$400,000.0 / 4.4%</v>
      </c>
      <c r="AW14" s="153"/>
    </row>
    <row r="15" spans="1:53" ht="17.100000000000001" customHeight="1">
      <c r="B15" s="4"/>
      <c r="C15" s="451" t="str">
        <f>IF(WINS!C4=0," ",WINS!C4)</f>
        <v>Major Submittals Approved (Window Wall, Porcelain, Doors)</v>
      </c>
      <c r="D15" s="452"/>
      <c r="E15" s="452"/>
      <c r="F15" s="452"/>
      <c r="G15" s="453"/>
      <c r="H15" s="5"/>
      <c r="J15" s="4"/>
      <c r="L15" s="108"/>
      <c r="M15" s="108"/>
      <c r="P15" s="407"/>
      <c r="Q15" s="407"/>
      <c r="R15" s="407"/>
      <c r="S15" s="407"/>
      <c r="T15" s="407"/>
      <c r="U15" s="68"/>
      <c r="V15" s="371"/>
      <c r="W15" s="359"/>
      <c r="X15" s="360"/>
      <c r="Y15" s="360"/>
      <c r="Z15" s="360"/>
      <c r="AA15" s="361"/>
      <c r="AB15" s="359"/>
      <c r="AC15" s="360"/>
      <c r="AD15" s="360"/>
      <c r="AE15" s="360"/>
      <c r="AF15" s="361"/>
      <c r="AG15" s="365"/>
      <c r="AH15" s="366"/>
      <c r="AI15" s="366"/>
      <c r="AJ15" s="366"/>
      <c r="AK15" s="367"/>
      <c r="AL15" s="359"/>
      <c r="AM15" s="361"/>
      <c r="AN15" s="84"/>
      <c r="AO15" s="5"/>
      <c r="AQ15" s="4"/>
      <c r="AR15" s="424" t="s">
        <v>70</v>
      </c>
      <c r="AS15" s="424"/>
      <c r="AT15" s="136" t="str">
        <f>TEXT(FINANCIALS!C10,"$#,##0.0") &amp; " / " &amp; TEXT(FINANCIALS!C10/FINANCIALS!C4,"0.0%")</f>
        <v>$2,997,804.2 / 32.9%</v>
      </c>
      <c r="AU15" s="134"/>
      <c r="AV15" s="30"/>
      <c r="AW15" s="153"/>
    </row>
    <row r="16" spans="1:53" ht="17.100000000000001" customHeight="1">
      <c r="B16" s="4"/>
      <c r="C16" s="454"/>
      <c r="D16" s="418"/>
      <c r="E16" s="418"/>
      <c r="F16" s="418"/>
      <c r="G16" s="455"/>
      <c r="H16" s="5"/>
      <c r="J16" s="4"/>
      <c r="L16" s="74">
        <f>+IF((O12-O10)=0,"0 days",O12-O10)</f>
        <v>49</v>
      </c>
      <c r="M16" s="75" t="str">
        <f>+IF((O12-O11)=0,"0 days",O12-O11)</f>
        <v>0 days</v>
      </c>
      <c r="N16" s="63"/>
      <c r="O16" s="463" t="str">
        <f>IF(L16&gt;0,"Warning, provide Recovery Plan","")</f>
        <v>Warning, provide Recovery Plan</v>
      </c>
      <c r="P16" s="407"/>
      <c r="Q16" s="407"/>
      <c r="R16" s="407"/>
      <c r="S16" s="407"/>
      <c r="T16" s="407"/>
      <c r="U16" s="68"/>
      <c r="V16" s="370" t="str">
        <f>SCHEDULE!D37</f>
        <v>🟡 Behind</v>
      </c>
      <c r="W16" s="356" t="str">
        <f>SCHEDULE!E37</f>
        <v>Delayed delivery</v>
      </c>
      <c r="X16" s="357"/>
      <c r="Y16" s="357"/>
      <c r="Z16" s="357"/>
      <c r="AA16" s="358"/>
      <c r="AB16" s="356" t="str">
        <f>SCHEDULE!F37</f>
        <v>[Explain steps being taken: e.g., OT, resequencing, adding crews]</v>
      </c>
      <c r="AC16" s="357"/>
      <c r="AD16" s="357"/>
      <c r="AE16" s="357"/>
      <c r="AF16" s="358"/>
      <c r="AG16" s="362" t="str">
        <f>SCHEDULE!G37</f>
        <v>[Impact to key milestones or turnover]</v>
      </c>
      <c r="AH16" s="363"/>
      <c r="AI16" s="363"/>
      <c r="AJ16" s="363"/>
      <c r="AK16" s="364"/>
      <c r="AL16" s="356" t="str">
        <f>SCHEDULE!H37</f>
        <v>[Escalations, decisions needed, risks to monitor]</v>
      </c>
      <c r="AM16" s="358"/>
      <c r="AN16" s="84"/>
      <c r="AO16" s="5"/>
      <c r="AQ16" s="4"/>
      <c r="AR16" s="424" t="s">
        <v>71</v>
      </c>
      <c r="AS16" s="424"/>
      <c r="AT16" s="136" t="str">
        <f>TEXT(FINANCIALS!C12,"$#,##0.0") &amp; " / " &amp; TEXT(FINANCIALS!C12/FINANCIALS!C4,"0.0%")</f>
        <v>$2,683,097.5 / 29.4%</v>
      </c>
      <c r="AU16" s="134"/>
      <c r="AV16" s="30"/>
      <c r="AW16" s="153"/>
    </row>
    <row r="17" spans="2:49" ht="17.100000000000001" customHeight="1">
      <c r="B17" s="4"/>
      <c r="C17" s="454"/>
      <c r="D17" s="418"/>
      <c r="E17" s="418"/>
      <c r="F17" s="418"/>
      <c r="G17" s="455"/>
      <c r="H17" s="5"/>
      <c r="J17" s="4"/>
      <c r="L17" s="72" t="s">
        <v>61</v>
      </c>
      <c r="M17" s="71" t="s">
        <v>63</v>
      </c>
      <c r="O17" s="464"/>
      <c r="P17" s="407" t="s">
        <v>72</v>
      </c>
      <c r="Q17" s="407"/>
      <c r="R17" s="407"/>
      <c r="S17" s="407"/>
      <c r="T17" s="407"/>
      <c r="U17" s="68"/>
      <c r="V17" s="371"/>
      <c r="W17" s="359"/>
      <c r="X17" s="360"/>
      <c r="Y17" s="360"/>
      <c r="Z17" s="360"/>
      <c r="AA17" s="361"/>
      <c r="AB17" s="359"/>
      <c r="AC17" s="360"/>
      <c r="AD17" s="360"/>
      <c r="AE17" s="360"/>
      <c r="AF17" s="361"/>
      <c r="AG17" s="365"/>
      <c r="AH17" s="366"/>
      <c r="AI17" s="366"/>
      <c r="AJ17" s="366"/>
      <c r="AK17" s="367"/>
      <c r="AL17" s="359"/>
      <c r="AM17" s="361"/>
      <c r="AN17" s="84"/>
      <c r="AO17" s="5"/>
      <c r="AQ17" s="4"/>
      <c r="AR17" s="424" t="s">
        <v>73</v>
      </c>
      <c r="AS17" s="424"/>
      <c r="AT17" s="136" t="str">
        <f>TEXT(FINANCIALS!C13,"$#,##0.0") &amp; " / " &amp; TEXT(FINANCIALS!C13/FINANCIALS!C4,"0.0%")</f>
        <v>$6,433,863.0 / 70.6%</v>
      </c>
      <c r="AU17" s="134"/>
      <c r="AV17" s="30"/>
      <c r="AW17" s="153"/>
    </row>
    <row r="18" spans="2:49" ht="17.100000000000001" customHeight="1">
      <c r="B18" s="4"/>
      <c r="C18" s="454"/>
      <c r="D18" s="418"/>
      <c r="E18" s="418"/>
      <c r="F18" s="418"/>
      <c r="G18" s="455"/>
      <c r="H18" s="5"/>
      <c r="J18" s="4"/>
      <c r="L18" s="392" t="s">
        <v>74</v>
      </c>
      <c r="M18" s="392"/>
      <c r="N18" s="64"/>
      <c r="O18" s="465"/>
      <c r="P18" s="390" t="str">
        <f>+SCHEDULE!C26</f>
        <v>Sub 1</v>
      </c>
      <c r="Q18" s="390"/>
      <c r="R18" s="390"/>
      <c r="S18" s="115"/>
      <c r="T18" s="114">
        <f>+SCHEDULE!D26</f>
        <v>0</v>
      </c>
      <c r="U18" s="68"/>
      <c r="V18" s="370" t="str">
        <f>+SCHEDULE!D38</f>
        <v>🔴 At Risk</v>
      </c>
      <c r="W18" s="356" t="str">
        <f>SCHEDULE!E38</f>
        <v>mapower</v>
      </c>
      <c r="X18" s="357"/>
      <c r="Y18" s="357"/>
      <c r="Z18" s="357"/>
      <c r="AA18" s="358"/>
      <c r="AB18" s="356" t="str">
        <f>SCHEDULE!F38</f>
        <v>[Explain steps being taken: e.g., OT, resequencing, adding crews]</v>
      </c>
      <c r="AC18" s="357"/>
      <c r="AD18" s="357"/>
      <c r="AE18" s="357"/>
      <c r="AF18" s="358"/>
      <c r="AG18" s="362" t="str">
        <f>SCHEDULE!G38</f>
        <v>[Impact to key milestones or turnover]</v>
      </c>
      <c r="AH18" s="363"/>
      <c r="AI18" s="363"/>
      <c r="AJ18" s="363"/>
      <c r="AK18" s="364"/>
      <c r="AL18" s="356" t="str">
        <f>SCHEDULE!H38</f>
        <v>[Escalations, decisions needed, risks to monitor]</v>
      </c>
      <c r="AM18" s="358"/>
      <c r="AN18" s="84"/>
      <c r="AO18" s="5"/>
      <c r="AQ18" s="4"/>
      <c r="AR18" s="424" t="s">
        <v>75</v>
      </c>
      <c r="AS18" s="424"/>
      <c r="AT18" s="136" t="str">
        <f>TEXT(FINANCIALS!C14,"$#,##0.0") &amp; " / " &amp; TEXT(FINANCIALS!C14/FINANCIALS!C4,"0.0%")</f>
        <v>$127,441.6 / 1.4%</v>
      </c>
      <c r="AU18" s="134"/>
      <c r="AV18" s="30"/>
      <c r="AW18" s="153"/>
    </row>
    <row r="19" spans="2:49" ht="17.100000000000001" customHeight="1">
      <c r="B19" s="4"/>
      <c r="C19" s="456"/>
      <c r="D19" s="457"/>
      <c r="E19" s="457"/>
      <c r="F19" s="457"/>
      <c r="G19" s="458"/>
      <c r="H19" s="5"/>
      <c r="J19" s="4"/>
      <c r="L19" s="391">
        <f>COUNTIF(Table5[START VARIANCE],"&gt;=1")/COUNT(Table5[ACTUAL START])</f>
        <v>0.4</v>
      </c>
      <c r="M19" s="391"/>
      <c r="O19" s="463" t="str">
        <f>IF(L19&gt;0.2,"Warning, provide Recovery Plan","")</f>
        <v>Warning, provide Recovery Plan</v>
      </c>
      <c r="P19" s="390" t="str">
        <f>+SCHEDULE!C27</f>
        <v>Sub 2</v>
      </c>
      <c r="Q19" s="390"/>
      <c r="R19" s="390"/>
      <c r="S19" s="115"/>
      <c r="T19" s="114">
        <f>+SCHEDULE!D27</f>
        <v>0</v>
      </c>
      <c r="U19" s="68"/>
      <c r="V19" s="371"/>
      <c r="W19" s="359"/>
      <c r="X19" s="360"/>
      <c r="Y19" s="360"/>
      <c r="Z19" s="360"/>
      <c r="AA19" s="361"/>
      <c r="AB19" s="359"/>
      <c r="AC19" s="360"/>
      <c r="AD19" s="360"/>
      <c r="AE19" s="360"/>
      <c r="AF19" s="361"/>
      <c r="AG19" s="365"/>
      <c r="AH19" s="366"/>
      <c r="AI19" s="366"/>
      <c r="AJ19" s="366"/>
      <c r="AK19" s="367"/>
      <c r="AL19" s="359"/>
      <c r="AM19" s="361"/>
      <c r="AN19" s="84"/>
      <c r="AO19" s="5"/>
      <c r="AQ19" s="4"/>
      <c r="AR19" s="424" t="s">
        <v>76</v>
      </c>
      <c r="AS19" s="424"/>
      <c r="AT19" s="150" t="str">
        <f>TEXT(FINANCIALS!C15,"$#,##0.0") &amp; " / " &amp; TEXT(FINANCIALS!C15/FINANCIALS!C4,"0.0%")</f>
        <v>$6,786,492.3 / 74.4%</v>
      </c>
      <c r="AU19" s="135"/>
      <c r="AV19" s="62"/>
      <c r="AW19" s="155"/>
    </row>
    <row r="20" spans="2:49" ht="17.100000000000001" customHeight="1">
      <c r="B20" s="4"/>
      <c r="C20" s="43"/>
      <c r="D20" s="43"/>
      <c r="E20" s="43"/>
      <c r="F20" s="43"/>
      <c r="G20" s="43"/>
      <c r="H20" s="5"/>
      <c r="J20" s="4"/>
      <c r="L20" s="392" t="s">
        <v>77</v>
      </c>
      <c r="M20" s="392"/>
      <c r="O20" s="465"/>
      <c r="P20" s="390" t="str">
        <f>+SCHEDULE!C28</f>
        <v>Sub 3</v>
      </c>
      <c r="Q20" s="390"/>
      <c r="R20" s="390"/>
      <c r="S20" s="115"/>
      <c r="T20" s="114">
        <f>+SCHEDULE!D28</f>
        <v>0</v>
      </c>
      <c r="U20" s="68"/>
      <c r="V20" s="370" t="str">
        <f>SCHEDULE!D39</f>
        <v>🟢 On Track</v>
      </c>
      <c r="W20" s="356" t="str">
        <f>SCHEDULE!E39</f>
        <v>manpower</v>
      </c>
      <c r="X20" s="357"/>
      <c r="Y20" s="357"/>
      <c r="Z20" s="357"/>
      <c r="AA20" s="358"/>
      <c r="AB20" s="356" t="str">
        <f>SCHEDULE!F39</f>
        <v>[Explain steps being taken: e.g., OT, resequencing, adding crews]</v>
      </c>
      <c r="AC20" s="357"/>
      <c r="AD20" s="357"/>
      <c r="AE20" s="357"/>
      <c r="AF20" s="358"/>
      <c r="AG20" s="362" t="str">
        <f>SCHEDULE!G39</f>
        <v>[Impact to key milestones or turnover]</v>
      </c>
      <c r="AH20" s="363"/>
      <c r="AI20" s="363"/>
      <c r="AJ20" s="363"/>
      <c r="AK20" s="364"/>
      <c r="AL20" s="356" t="str">
        <f>SCHEDULE!H39</f>
        <v>[Escalations, decisions needed, risks to monitor]</v>
      </c>
      <c r="AM20" s="358"/>
      <c r="AN20" s="84"/>
      <c r="AO20" s="5"/>
      <c r="AQ20" s="4"/>
      <c r="AR20" s="29"/>
      <c r="AS20" s="29"/>
      <c r="AT20" s="185"/>
      <c r="AU20" s="185"/>
      <c r="AV20" s="62"/>
      <c r="AW20" s="155"/>
    </row>
    <row r="21" spans="2:49" ht="17.100000000000001" customHeight="1">
      <c r="B21" s="4"/>
      <c r="C21" s="451" t="str">
        <f>IF(WINS!C5=0," ",WINS!C5)</f>
        <v>No accidents</v>
      </c>
      <c r="D21" s="452"/>
      <c r="E21" s="452"/>
      <c r="F21" s="452"/>
      <c r="G21" s="453"/>
      <c r="H21" s="5"/>
      <c r="J21" s="4"/>
      <c r="L21" s="391">
        <f ca="1">IF(M12&gt;TODAY(),0,((TODAY()-M12))/(O12-M12))</f>
        <v>0.74859287054409007</v>
      </c>
      <c r="M21" s="391"/>
      <c r="O21" s="463" t="str">
        <f ca="1">IF(L21&lt;((TODAY()-M11))/(O11-M11),"Warning, slippage, provide recovery plan","")</f>
        <v/>
      </c>
      <c r="P21" s="390" t="str">
        <f>+SCHEDULE!C29</f>
        <v>Sub 4</v>
      </c>
      <c r="Q21" s="390"/>
      <c r="R21" s="390"/>
      <c r="S21" s="115"/>
      <c r="T21" s="114">
        <f>+SCHEDULE!D29</f>
        <v>0</v>
      </c>
      <c r="U21" s="68"/>
      <c r="V21" s="371"/>
      <c r="W21" s="359"/>
      <c r="X21" s="360"/>
      <c r="Y21" s="360"/>
      <c r="Z21" s="360"/>
      <c r="AA21" s="361"/>
      <c r="AB21" s="359"/>
      <c r="AC21" s="360"/>
      <c r="AD21" s="360"/>
      <c r="AE21" s="360"/>
      <c r="AF21" s="361"/>
      <c r="AG21" s="365"/>
      <c r="AH21" s="366"/>
      <c r="AI21" s="366"/>
      <c r="AJ21" s="366"/>
      <c r="AK21" s="367"/>
      <c r="AL21" s="359"/>
      <c r="AM21" s="361"/>
      <c r="AN21" s="84"/>
      <c r="AO21" s="5"/>
      <c r="AQ21" s="4"/>
      <c r="AR21" s="29"/>
      <c r="AS21" s="29"/>
      <c r="AT21" s="377">
        <f>FINANCIALS!C6</f>
        <v>1</v>
      </c>
      <c r="AU21" s="377"/>
      <c r="AV21" s="62"/>
      <c r="AW21" s="155"/>
    </row>
    <row r="22" spans="2:49" ht="17.100000000000001" customHeight="1">
      <c r="B22" s="4"/>
      <c r="C22" s="454"/>
      <c r="D22" s="418"/>
      <c r="E22" s="418"/>
      <c r="F22" s="418"/>
      <c r="G22" s="455"/>
      <c r="H22" s="5"/>
      <c r="J22" s="4"/>
      <c r="L22" s="392" t="s">
        <v>78</v>
      </c>
      <c r="M22" s="392"/>
      <c r="O22" s="465"/>
      <c r="P22" s="390" t="str">
        <f>+SCHEDULE!C30</f>
        <v>Sub 5</v>
      </c>
      <c r="Q22" s="390"/>
      <c r="R22" s="390"/>
      <c r="S22" s="115"/>
      <c r="T22" s="114">
        <f>+SCHEDULE!D30</f>
        <v>0</v>
      </c>
      <c r="U22" s="87"/>
      <c r="V22" s="83"/>
      <c r="W22" s="83"/>
      <c r="X22" s="83"/>
      <c r="Y22" s="83"/>
      <c r="Z22" s="83"/>
      <c r="AA22" s="83"/>
      <c r="AB22" s="83"/>
      <c r="AC22" s="83"/>
      <c r="AD22" s="83"/>
      <c r="AE22" s="83"/>
      <c r="AF22" s="83"/>
      <c r="AG22" s="83"/>
      <c r="AH22" s="83"/>
      <c r="AI22" s="83"/>
      <c r="AJ22" s="83"/>
      <c r="AK22" s="83"/>
      <c r="AL22" s="83"/>
      <c r="AM22" s="83"/>
      <c r="AN22" s="86"/>
      <c r="AO22" s="5"/>
      <c r="AQ22" s="4"/>
      <c r="AR22" s="29"/>
      <c r="AS22" s="29"/>
      <c r="AT22" s="375" t="s">
        <v>79</v>
      </c>
      <c r="AU22" s="375"/>
      <c r="AV22" s="62"/>
      <c r="AW22" s="155"/>
    </row>
    <row r="23" spans="2:49" ht="17.100000000000001" customHeight="1">
      <c r="B23" s="4"/>
      <c r="C23" s="454"/>
      <c r="D23" s="418"/>
      <c r="E23" s="418"/>
      <c r="F23" s="418"/>
      <c r="G23" s="455"/>
      <c r="H23" s="5"/>
      <c r="J23" s="6"/>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3"/>
      <c r="AQ23" s="4"/>
      <c r="AR23" s="29"/>
      <c r="AS23" s="29"/>
      <c r="AT23" s="374">
        <f>FINANCIALS!D62</f>
        <v>0.95000000500000004</v>
      </c>
      <c r="AU23" s="374"/>
      <c r="AV23" s="53"/>
      <c r="AW23" s="157"/>
    </row>
    <row r="24" spans="2:49" ht="17.100000000000001" customHeight="1">
      <c r="B24" s="4"/>
      <c r="C24" s="454"/>
      <c r="D24" s="418"/>
      <c r="E24" s="418"/>
      <c r="F24" s="418"/>
      <c r="G24" s="455"/>
      <c r="H24" s="5"/>
      <c r="AQ24" s="4"/>
      <c r="AR24" s="29"/>
      <c r="AS24" s="29"/>
      <c r="AT24" s="375" t="s">
        <v>80</v>
      </c>
      <c r="AU24" s="375"/>
      <c r="AW24" s="125"/>
    </row>
    <row r="25" spans="2:49" ht="17.100000000000001" customHeight="1">
      <c r="B25" s="4"/>
      <c r="C25" s="456"/>
      <c r="D25" s="457"/>
      <c r="E25" s="457"/>
      <c r="F25" s="457"/>
      <c r="G25" s="458"/>
      <c r="H25" s="5"/>
      <c r="I25" s="127"/>
      <c r="J25" s="411" t="s">
        <v>81</v>
      </c>
      <c r="K25" s="411"/>
      <c r="L25" s="411"/>
      <c r="M25" s="411"/>
      <c r="N25" s="411"/>
      <c r="O25" s="411"/>
      <c r="P25" s="411"/>
      <c r="Q25" s="411"/>
      <c r="R25" s="411"/>
      <c r="S25" s="411"/>
      <c r="T25" s="411"/>
      <c r="U25" s="411"/>
      <c r="V25" s="411"/>
      <c r="W25" s="411"/>
      <c r="X25" s="411"/>
      <c r="Y25" s="411"/>
      <c r="Z25" s="411"/>
      <c r="AA25" s="411"/>
      <c r="AB25" s="411"/>
      <c r="AC25" s="411"/>
      <c r="AD25" s="411"/>
      <c r="AE25" s="411"/>
      <c r="AF25" s="411"/>
      <c r="AG25" s="411"/>
      <c r="AH25" s="411"/>
      <c r="AI25" s="411"/>
      <c r="AJ25" s="411"/>
      <c r="AK25" s="411"/>
      <c r="AL25" s="411"/>
      <c r="AM25" s="411"/>
      <c r="AN25" s="411"/>
      <c r="AO25" s="412"/>
      <c r="AQ25" s="4"/>
      <c r="AR25" s="29"/>
      <c r="AS25" s="29"/>
      <c r="AT25" s="377">
        <f>+FINANCIALS!F57</f>
        <v>1</v>
      </c>
      <c r="AU25" s="377"/>
      <c r="AW25" s="125"/>
    </row>
    <row r="26" spans="2:49" ht="17.100000000000001" customHeight="1">
      <c r="B26" s="4"/>
      <c r="C26" s="43"/>
      <c r="D26" s="43"/>
      <c r="E26" s="43"/>
      <c r="F26" s="43"/>
      <c r="G26" s="43"/>
      <c r="H26" s="5"/>
      <c r="J26" s="4"/>
      <c r="AO26" s="84"/>
      <c r="AQ26" s="4"/>
      <c r="AR26" s="29"/>
      <c r="AS26" s="29"/>
      <c r="AT26" s="375" t="s">
        <v>82</v>
      </c>
      <c r="AU26" s="375"/>
      <c r="AW26" s="125"/>
    </row>
    <row r="27" spans="2:49" ht="17.100000000000001" customHeight="1">
      <c r="B27" s="4"/>
      <c r="C27" s="451" t="str">
        <f>IF(WINS!C6=0," ",WINS!C6)</f>
        <v>Quickly Rescinded PSWO</v>
      </c>
      <c r="D27" s="452"/>
      <c r="E27" s="452"/>
      <c r="F27" s="452"/>
      <c r="G27" s="453"/>
      <c r="H27" s="5"/>
      <c r="J27" s="4"/>
      <c r="K27" s="379" t="str">
        <f>+RISKS!C2</f>
        <v>RISK DESCRIPTION</v>
      </c>
      <c r="L27" s="379"/>
      <c r="M27" s="379"/>
      <c r="N27" s="379"/>
      <c r="O27" s="379"/>
      <c r="P27" s="379"/>
      <c r="Q27" s="379"/>
      <c r="R27" s="379"/>
      <c r="S27" s="379"/>
      <c r="T27" s="368" t="str">
        <f>+RISKS!D2</f>
        <v>IMPACT</v>
      </c>
      <c r="U27" s="369"/>
      <c r="V27" s="378" t="str">
        <f>+RISKS!E2</f>
        <v>MITIGATION STRATEGY</v>
      </c>
      <c r="W27" s="378"/>
      <c r="X27" s="378"/>
      <c r="Y27" s="378"/>
      <c r="Z27" s="378"/>
      <c r="AA27" s="378"/>
      <c r="AB27" s="378"/>
      <c r="AC27" s="378"/>
      <c r="AD27" s="378"/>
      <c r="AE27" s="378"/>
      <c r="AF27" s="378"/>
      <c r="AG27" s="378"/>
      <c r="AH27" s="378"/>
      <c r="AI27" s="378"/>
      <c r="AJ27" s="379" t="str">
        <f>+RISKS!F2</f>
        <v>OWNER</v>
      </c>
      <c r="AK27" s="379"/>
      <c r="AL27" s="379"/>
      <c r="AM27" s="378" t="str">
        <f>+RISKS!G2</f>
        <v>STATUS</v>
      </c>
      <c r="AN27" s="378"/>
      <c r="AO27" s="85"/>
      <c r="AQ27" s="4"/>
      <c r="AR27" s="29"/>
      <c r="AS27" s="29"/>
      <c r="AT27" s="377">
        <f>FINANCIALS!F56</f>
        <v>8.8181818181818183</v>
      </c>
      <c r="AU27" s="377"/>
      <c r="AW27" s="125"/>
    </row>
    <row r="28" spans="2:49" ht="17.100000000000001" customHeight="1">
      <c r="B28" s="4"/>
      <c r="C28" s="454"/>
      <c r="D28" s="418"/>
      <c r="E28" s="418"/>
      <c r="F28" s="418"/>
      <c r="G28" s="455"/>
      <c r="H28" s="5"/>
      <c r="J28" s="4"/>
      <c r="K28" s="393" t="str">
        <f>+RISKS!C3</f>
        <v xml:space="preserve">Change Orders Outstanding Change Orders Outstanding Change Orders Outstanding </v>
      </c>
      <c r="L28" s="394"/>
      <c r="M28" s="394"/>
      <c r="N28" s="394"/>
      <c r="O28" s="394"/>
      <c r="P28" s="394"/>
      <c r="Q28" s="394"/>
      <c r="R28" s="394"/>
      <c r="S28" s="395"/>
      <c r="T28" s="393" t="str">
        <f>+RISKS!D3</f>
        <v>🟡 Medium</v>
      </c>
      <c r="U28" s="395"/>
      <c r="V28" s="393" t="str">
        <f>+RISKS!E3</f>
        <v xml:space="preserve"> Change Orders Outstanding Change Orders Outstanding Change Orders Outstanding Change Orders Outstanding Change Orders </v>
      </c>
      <c r="W28" s="394"/>
      <c r="X28" s="394"/>
      <c r="Y28" s="394"/>
      <c r="Z28" s="394"/>
      <c r="AA28" s="394"/>
      <c r="AB28" s="394"/>
      <c r="AC28" s="394"/>
      <c r="AD28" s="394"/>
      <c r="AE28" s="394"/>
      <c r="AF28" s="394"/>
      <c r="AG28" s="394"/>
      <c r="AH28" s="394"/>
      <c r="AI28" s="395"/>
      <c r="AJ28" s="380" t="str">
        <f>+RISKS!F3</f>
        <v>Dir. of Construction</v>
      </c>
      <c r="AK28" s="381"/>
      <c r="AL28" s="382"/>
      <c r="AM28" s="386" t="str">
        <f>+RISKS!G3</f>
        <v>🟢 Complete</v>
      </c>
      <c r="AN28" s="387"/>
      <c r="AO28" s="84"/>
      <c r="AQ28" s="4"/>
      <c r="AR28" s="29"/>
      <c r="AS28" s="29"/>
      <c r="AT28" s="425" t="s">
        <v>83</v>
      </c>
      <c r="AU28" s="425"/>
      <c r="AW28" s="125"/>
    </row>
    <row r="29" spans="2:49" ht="17.100000000000001" customHeight="1">
      <c r="B29" s="4"/>
      <c r="C29" s="454"/>
      <c r="D29" s="418"/>
      <c r="E29" s="418"/>
      <c r="F29" s="418"/>
      <c r="G29" s="455"/>
      <c r="H29" s="5"/>
      <c r="J29" s="4"/>
      <c r="K29" s="396"/>
      <c r="L29" s="397"/>
      <c r="M29" s="397"/>
      <c r="N29" s="397"/>
      <c r="O29" s="397"/>
      <c r="P29" s="397"/>
      <c r="Q29" s="397"/>
      <c r="R29" s="397"/>
      <c r="S29" s="398"/>
      <c r="T29" s="396"/>
      <c r="U29" s="398"/>
      <c r="V29" s="396"/>
      <c r="W29" s="397"/>
      <c r="X29" s="397"/>
      <c r="Y29" s="397"/>
      <c r="Z29" s="397"/>
      <c r="AA29" s="397"/>
      <c r="AB29" s="397"/>
      <c r="AC29" s="397"/>
      <c r="AD29" s="397"/>
      <c r="AE29" s="397"/>
      <c r="AF29" s="397"/>
      <c r="AG29" s="397"/>
      <c r="AH29" s="397"/>
      <c r="AI29" s="398"/>
      <c r="AJ29" s="383"/>
      <c r="AK29" s="384"/>
      <c r="AL29" s="385"/>
      <c r="AM29" s="388"/>
      <c r="AN29" s="389"/>
      <c r="AO29" s="125"/>
      <c r="AQ29" s="4"/>
      <c r="AR29" s="29"/>
      <c r="AS29" s="29"/>
      <c r="AT29" s="270"/>
      <c r="AU29" s="270"/>
      <c r="AW29" s="125"/>
    </row>
    <row r="30" spans="2:49" ht="17.100000000000001" customHeight="1">
      <c r="B30" s="4"/>
      <c r="C30" s="454"/>
      <c r="D30" s="418"/>
      <c r="E30" s="418"/>
      <c r="F30" s="418"/>
      <c r="G30" s="455"/>
      <c r="H30" s="5"/>
      <c r="J30" s="4"/>
      <c r="K30" s="393" t="str">
        <f>+RISKS!C4</f>
        <v>Access Agreements with Neighbors</v>
      </c>
      <c r="L30" s="394"/>
      <c r="M30" s="394"/>
      <c r="N30" s="394"/>
      <c r="O30" s="394"/>
      <c r="P30" s="394"/>
      <c r="Q30" s="394"/>
      <c r="R30" s="394"/>
      <c r="S30" s="395"/>
      <c r="T30" s="393" t="str">
        <f>+RISKS!D4</f>
        <v>🟡 Medium</v>
      </c>
      <c r="U30" s="395"/>
      <c r="V30" s="393" t="str">
        <f>+RISKS!E4</f>
        <v xml:space="preserve"> Change Orders Outstanding Change Orders Outstanding Change Orders Outstanding Change Orders Outstanding Change Orders </v>
      </c>
      <c r="W30" s="394"/>
      <c r="X30" s="394"/>
      <c r="Y30" s="394"/>
      <c r="Z30" s="394"/>
      <c r="AA30" s="394"/>
      <c r="AB30" s="394"/>
      <c r="AC30" s="394"/>
      <c r="AD30" s="394"/>
      <c r="AE30" s="394"/>
      <c r="AF30" s="394"/>
      <c r="AG30" s="394"/>
      <c r="AH30" s="394"/>
      <c r="AI30" s="395"/>
      <c r="AJ30" s="380" t="str">
        <f>+RISKS!F4</f>
        <v>Dir. of Construction</v>
      </c>
      <c r="AK30" s="381"/>
      <c r="AL30" s="382"/>
      <c r="AM30" s="386" t="str">
        <f>+RISKS!G4</f>
        <v>🟡 Planned</v>
      </c>
      <c r="AN30" s="387"/>
      <c r="AO30" s="125"/>
      <c r="AQ30" s="4"/>
      <c r="AR30" s="29"/>
      <c r="AS30" s="419" t="str">
        <f>"Profitability is " &amp;FINANCIALS!C7</f>
        <v>Profitability is Margin fade but no plan</v>
      </c>
      <c r="AT30" s="419"/>
      <c r="AU30" s="419"/>
      <c r="AW30" s="125"/>
    </row>
    <row r="31" spans="2:49" ht="17.100000000000001" customHeight="1">
      <c r="B31" s="4"/>
      <c r="C31" s="456"/>
      <c r="D31" s="457"/>
      <c r="E31" s="457"/>
      <c r="F31" s="457"/>
      <c r="G31" s="458"/>
      <c r="H31" s="5"/>
      <c r="J31" s="4"/>
      <c r="K31" s="396"/>
      <c r="L31" s="397"/>
      <c r="M31" s="397"/>
      <c r="N31" s="397"/>
      <c r="O31" s="397"/>
      <c r="P31" s="397"/>
      <c r="Q31" s="397"/>
      <c r="R31" s="397"/>
      <c r="S31" s="398"/>
      <c r="T31" s="396"/>
      <c r="U31" s="398"/>
      <c r="V31" s="396"/>
      <c r="W31" s="397"/>
      <c r="X31" s="397"/>
      <c r="Y31" s="397"/>
      <c r="Z31" s="397"/>
      <c r="AA31" s="397"/>
      <c r="AB31" s="397"/>
      <c r="AC31" s="397"/>
      <c r="AD31" s="397"/>
      <c r="AE31" s="397"/>
      <c r="AF31" s="397"/>
      <c r="AG31" s="397"/>
      <c r="AH31" s="397"/>
      <c r="AI31" s="398"/>
      <c r="AJ31" s="383"/>
      <c r="AK31" s="384"/>
      <c r="AL31" s="385"/>
      <c r="AM31" s="388"/>
      <c r="AN31" s="389"/>
      <c r="AO31" s="125"/>
      <c r="AQ31" s="4"/>
      <c r="AS31" s="419" t="str">
        <f>FINANCIALS!C8</f>
        <v>&lt; 50% = 🔴 Bad Cash Position</v>
      </c>
      <c r="AT31" s="419"/>
      <c r="AU31" s="419"/>
      <c r="AV31" s="34"/>
      <c r="AW31" s="125"/>
    </row>
    <row r="32" spans="2:49" ht="17.100000000000001" customHeight="1">
      <c r="B32" s="89"/>
      <c r="C32" s="83"/>
      <c r="D32" s="83"/>
      <c r="E32" s="83"/>
      <c r="F32" s="83"/>
      <c r="G32" s="83"/>
      <c r="H32" s="86"/>
      <c r="J32" s="4"/>
      <c r="K32" s="393" t="str">
        <f>+RISKS!C5</f>
        <v>Trades to award:</v>
      </c>
      <c r="L32" s="394"/>
      <c r="M32" s="394"/>
      <c r="N32" s="394"/>
      <c r="O32" s="394"/>
      <c r="P32" s="394"/>
      <c r="Q32" s="394"/>
      <c r="R32" s="394"/>
      <c r="S32" s="395"/>
      <c r="T32" s="393" t="str">
        <f>+RISKS!D5</f>
        <v>🟡 Medium</v>
      </c>
      <c r="U32" s="395"/>
      <c r="V32" s="393" t="str">
        <f>+RISKS!E5</f>
        <v xml:space="preserve"> Change Orders Outstanding Change Orders Outstanding Change Orders Outstanding Change Orders Outstanding Change Orders </v>
      </c>
      <c r="W32" s="394"/>
      <c r="X32" s="394"/>
      <c r="Y32" s="394"/>
      <c r="Z32" s="394"/>
      <c r="AA32" s="394"/>
      <c r="AB32" s="394"/>
      <c r="AC32" s="394"/>
      <c r="AD32" s="394"/>
      <c r="AE32" s="394"/>
      <c r="AF32" s="394"/>
      <c r="AG32" s="394"/>
      <c r="AH32" s="394"/>
      <c r="AI32" s="395"/>
      <c r="AJ32" s="380" t="str">
        <f>+RISKS!F5</f>
        <v>Dir. of Construction</v>
      </c>
      <c r="AK32" s="381"/>
      <c r="AL32" s="382"/>
      <c r="AM32" s="386" t="str">
        <f>+RISKS!G5</f>
        <v>🟡 In Progress</v>
      </c>
      <c r="AN32" s="387"/>
      <c r="AO32" s="125"/>
      <c r="AQ32" s="4"/>
      <c r="AR32" s="426" t="str">
        <f>FINANCIALS!E65</f>
        <v>🟢 Y</v>
      </c>
      <c r="AS32" s="426"/>
      <c r="AT32" s="418" t="s">
        <v>84</v>
      </c>
      <c r="AU32" s="418"/>
      <c r="AV32" s="418"/>
      <c r="AW32" s="125"/>
    </row>
    <row r="33" spans="2:52" ht="17.100000000000001" customHeight="1">
      <c r="J33" s="4"/>
      <c r="K33" s="396"/>
      <c r="L33" s="397"/>
      <c r="M33" s="397"/>
      <c r="N33" s="397"/>
      <c r="O33" s="397"/>
      <c r="P33" s="397"/>
      <c r="Q33" s="397"/>
      <c r="R33" s="397"/>
      <c r="S33" s="398"/>
      <c r="T33" s="396"/>
      <c r="U33" s="398"/>
      <c r="V33" s="396"/>
      <c r="W33" s="397"/>
      <c r="X33" s="397"/>
      <c r="Y33" s="397"/>
      <c r="Z33" s="397"/>
      <c r="AA33" s="397"/>
      <c r="AB33" s="397"/>
      <c r="AC33" s="397"/>
      <c r="AD33" s="397"/>
      <c r="AE33" s="397"/>
      <c r="AF33" s="397"/>
      <c r="AG33" s="397"/>
      <c r="AH33" s="397"/>
      <c r="AI33" s="398"/>
      <c r="AJ33" s="383"/>
      <c r="AK33" s="384"/>
      <c r="AL33" s="385"/>
      <c r="AM33" s="388"/>
      <c r="AN33" s="389"/>
      <c r="AO33" s="125"/>
      <c r="AQ33" s="4"/>
      <c r="AR33" s="426" t="str">
        <f>FINANCIALS!E66</f>
        <v>🔴 N</v>
      </c>
      <c r="AS33" s="426"/>
      <c r="AT33" s="418" t="s">
        <v>85</v>
      </c>
      <c r="AU33" s="418"/>
      <c r="AV33" s="418"/>
      <c r="AW33" s="125"/>
    </row>
    <row r="34" spans="2:52" ht="17.100000000000001" customHeight="1">
      <c r="B34" s="443" t="s">
        <v>86</v>
      </c>
      <c r="C34" s="443"/>
      <c r="D34" s="443"/>
      <c r="E34" s="443"/>
      <c r="F34" s="443"/>
      <c r="G34" s="443"/>
      <c r="H34" s="444"/>
      <c r="J34" s="4"/>
      <c r="K34" s="393" t="str">
        <f>+RISKS!C6</f>
        <v>Kitchen Cabinet Design</v>
      </c>
      <c r="L34" s="394"/>
      <c r="M34" s="394"/>
      <c r="N34" s="394"/>
      <c r="O34" s="394"/>
      <c r="P34" s="394"/>
      <c r="Q34" s="394"/>
      <c r="R34" s="394"/>
      <c r="S34" s="395"/>
      <c r="T34" s="393" t="str">
        <f>+RISKS!D6</f>
        <v>🟡 Medium</v>
      </c>
      <c r="U34" s="395"/>
      <c r="V34" s="393" t="str">
        <f>+RISKS!E6</f>
        <v xml:space="preserve"> Change Orders Outstanding Change Orders Outstanding Change Orders Outstanding Change Orders Outstanding Change Orders </v>
      </c>
      <c r="W34" s="394"/>
      <c r="X34" s="394"/>
      <c r="Y34" s="394"/>
      <c r="Z34" s="394"/>
      <c r="AA34" s="394"/>
      <c r="AB34" s="394"/>
      <c r="AC34" s="394"/>
      <c r="AD34" s="394"/>
      <c r="AE34" s="394"/>
      <c r="AF34" s="394"/>
      <c r="AG34" s="394"/>
      <c r="AH34" s="394"/>
      <c r="AI34" s="395"/>
      <c r="AJ34" s="380" t="str">
        <f>+RISKS!F6</f>
        <v>Dir. of Construction</v>
      </c>
      <c r="AK34" s="381"/>
      <c r="AL34" s="382"/>
      <c r="AM34" s="386" t="str">
        <f>+RISKS!G6</f>
        <v>🟢 Complete</v>
      </c>
      <c r="AN34" s="387"/>
      <c r="AO34" s="125"/>
      <c r="AQ34" s="4"/>
      <c r="AR34" s="426" t="str">
        <f>FINANCIALS!E67</f>
        <v>🔴 N</v>
      </c>
      <c r="AS34" s="426"/>
      <c r="AT34" s="418" t="s">
        <v>87</v>
      </c>
      <c r="AU34" s="418"/>
      <c r="AV34" s="418"/>
      <c r="AW34" s="125"/>
    </row>
    <row r="35" spans="2:52" ht="17.100000000000001" customHeight="1">
      <c r="B35" s="4"/>
      <c r="H35" s="5"/>
      <c r="J35" s="4"/>
      <c r="K35" s="396"/>
      <c r="L35" s="397"/>
      <c r="M35" s="397"/>
      <c r="N35" s="397"/>
      <c r="O35" s="397"/>
      <c r="P35" s="397"/>
      <c r="Q35" s="397"/>
      <c r="R35" s="397"/>
      <c r="S35" s="398"/>
      <c r="T35" s="396"/>
      <c r="U35" s="398"/>
      <c r="V35" s="396"/>
      <c r="W35" s="397"/>
      <c r="X35" s="397"/>
      <c r="Y35" s="397"/>
      <c r="Z35" s="397"/>
      <c r="AA35" s="397"/>
      <c r="AB35" s="397"/>
      <c r="AC35" s="397"/>
      <c r="AD35" s="397"/>
      <c r="AE35" s="397"/>
      <c r="AF35" s="397"/>
      <c r="AG35" s="397"/>
      <c r="AH35" s="397"/>
      <c r="AI35" s="398"/>
      <c r="AJ35" s="383"/>
      <c r="AK35" s="384"/>
      <c r="AL35" s="385"/>
      <c r="AM35" s="388"/>
      <c r="AN35" s="389"/>
      <c r="AO35" s="125"/>
      <c r="AQ35" s="4"/>
      <c r="AR35" s="29"/>
      <c r="AS35" s="29"/>
      <c r="AT35" s="156"/>
      <c r="AV35" s="53"/>
      <c r="AW35" s="157"/>
    </row>
    <row r="36" spans="2:52" ht="17.100000000000001" customHeight="1">
      <c r="B36" s="4"/>
      <c r="C36" s="451" t="str">
        <f>IF(WINS!C9=0," ",WINS!C9)</f>
        <v>Topped Out Superstructure</v>
      </c>
      <c r="D36" s="452"/>
      <c r="E36" s="452"/>
      <c r="F36" s="452"/>
      <c r="G36" s="453"/>
      <c r="H36" s="5"/>
      <c r="J36" s="4"/>
      <c r="K36" s="393" t="str">
        <f>+RISKS!C7</f>
        <v>Kitchen Cabinet Design</v>
      </c>
      <c r="L36" s="394"/>
      <c r="M36" s="394"/>
      <c r="N36" s="394"/>
      <c r="O36" s="394"/>
      <c r="P36" s="394"/>
      <c r="Q36" s="394"/>
      <c r="R36" s="394"/>
      <c r="S36" s="395"/>
      <c r="T36" s="393" t="str">
        <f>+RISKS!D7</f>
        <v>🟡 Medium</v>
      </c>
      <c r="U36" s="395"/>
      <c r="V36" s="393" t="str">
        <f>+RISKS!E7</f>
        <v xml:space="preserve"> Change Orders Outstanding Change Orders Outstanding Change Orders Outstanding Change Orders Outstanding Change Orders </v>
      </c>
      <c r="W36" s="394"/>
      <c r="X36" s="394"/>
      <c r="Y36" s="394"/>
      <c r="Z36" s="394"/>
      <c r="AA36" s="394"/>
      <c r="AB36" s="394"/>
      <c r="AC36" s="394"/>
      <c r="AD36" s="394"/>
      <c r="AE36" s="394"/>
      <c r="AF36" s="394"/>
      <c r="AG36" s="394"/>
      <c r="AH36" s="394"/>
      <c r="AI36" s="395"/>
      <c r="AJ36" s="380" t="str">
        <f>+RISKS!F7</f>
        <v>Dir. of Construction</v>
      </c>
      <c r="AK36" s="381"/>
      <c r="AL36" s="382"/>
      <c r="AM36" s="386" t="str">
        <f>+RISKS!G7</f>
        <v>🔴 Not Started</v>
      </c>
      <c r="AN36" s="387"/>
      <c r="AO36" s="125"/>
      <c r="AQ36" s="4"/>
      <c r="AS36" s="138" t="s">
        <v>88</v>
      </c>
      <c r="AT36" s="138" t="s">
        <v>89</v>
      </c>
      <c r="AU36" s="138" t="s">
        <v>90</v>
      </c>
      <c r="AV36" s="434" t="s">
        <v>91</v>
      </c>
      <c r="AW36" s="435"/>
    </row>
    <row r="37" spans="2:52" ht="17.100000000000001" customHeight="1">
      <c r="B37" s="4"/>
      <c r="C37" s="454"/>
      <c r="D37" s="418"/>
      <c r="E37" s="418"/>
      <c r="F37" s="418"/>
      <c r="G37" s="455"/>
      <c r="H37" s="5"/>
      <c r="J37" s="4"/>
      <c r="K37" s="396"/>
      <c r="L37" s="397"/>
      <c r="M37" s="397"/>
      <c r="N37" s="397"/>
      <c r="O37" s="397"/>
      <c r="P37" s="397"/>
      <c r="Q37" s="397"/>
      <c r="R37" s="397"/>
      <c r="S37" s="398"/>
      <c r="T37" s="396"/>
      <c r="U37" s="398"/>
      <c r="V37" s="396"/>
      <c r="W37" s="397"/>
      <c r="X37" s="397"/>
      <c r="Y37" s="397"/>
      <c r="Z37" s="397"/>
      <c r="AA37" s="397"/>
      <c r="AB37" s="397"/>
      <c r="AC37" s="397"/>
      <c r="AD37" s="397"/>
      <c r="AE37" s="397"/>
      <c r="AF37" s="397"/>
      <c r="AG37" s="397"/>
      <c r="AH37" s="397"/>
      <c r="AI37" s="398"/>
      <c r="AJ37" s="383"/>
      <c r="AK37" s="384"/>
      <c r="AL37" s="385"/>
      <c r="AM37" s="388"/>
      <c r="AN37" s="389"/>
      <c r="AO37" s="125"/>
      <c r="AQ37" s="4"/>
      <c r="AR37" s="245" t="s">
        <v>92</v>
      </c>
      <c r="AS37" s="137">
        <f>FINANCIALS!C19</f>
        <v>299746.96999999997</v>
      </c>
      <c r="AT37" s="137">
        <f>FINANCIALS!D19</f>
        <v>89149.77</v>
      </c>
      <c r="AU37" s="137" t="str">
        <f>TEXT(FINANCIALS!E19,"$#,##0.00") &amp; " / " &amp; TEXT(FINANCIALS!E19/FINANCIALS!C19,"0.0%")</f>
        <v>$15,000.00 / 5.0%</v>
      </c>
      <c r="AV37" s="436" t="str">
        <f>FINANCIALS!F19</f>
        <v>🔴 Over Budget</v>
      </c>
      <c r="AW37" s="437"/>
    </row>
    <row r="38" spans="2:52" ht="17.100000000000001" customHeight="1">
      <c r="B38" s="4"/>
      <c r="C38" s="454"/>
      <c r="D38" s="418"/>
      <c r="E38" s="418"/>
      <c r="F38" s="418"/>
      <c r="G38" s="455"/>
      <c r="H38" s="5"/>
      <c r="J38" s="4"/>
      <c r="K38" s="393" t="str">
        <f>+RISKS!C8</f>
        <v>Kitchen Cabinet Design</v>
      </c>
      <c r="L38" s="394"/>
      <c r="M38" s="394"/>
      <c r="N38" s="394"/>
      <c r="O38" s="394"/>
      <c r="P38" s="394"/>
      <c r="Q38" s="394"/>
      <c r="R38" s="394"/>
      <c r="S38" s="395"/>
      <c r="T38" s="393" t="str">
        <f>+RISKS!D8</f>
        <v>🔴 High</v>
      </c>
      <c r="U38" s="395"/>
      <c r="V38" s="393" t="str">
        <f>+RISKS!E8</f>
        <v xml:space="preserve"> Change Orders Outstanding Change Orders Outstanding Change Orders Outstanding Change Orders Outstanding Change Orders </v>
      </c>
      <c r="W38" s="394"/>
      <c r="X38" s="394"/>
      <c r="Y38" s="394"/>
      <c r="Z38" s="394"/>
      <c r="AA38" s="394"/>
      <c r="AB38" s="394"/>
      <c r="AC38" s="394"/>
      <c r="AD38" s="394"/>
      <c r="AE38" s="394"/>
      <c r="AF38" s="394"/>
      <c r="AG38" s="394"/>
      <c r="AH38" s="394"/>
      <c r="AI38" s="395"/>
      <c r="AJ38" s="380" t="str">
        <f>+RISKS!F8</f>
        <v>Dir. of Construction</v>
      </c>
      <c r="AK38" s="381"/>
      <c r="AL38" s="382"/>
      <c r="AM38" s="386" t="str">
        <f>+RISKS!G8</f>
        <v>🔴 Not Started</v>
      </c>
      <c r="AN38" s="387"/>
      <c r="AO38" s="125"/>
      <c r="AQ38" s="4"/>
      <c r="AR38" s="245" t="s">
        <v>93</v>
      </c>
      <c r="AS38" s="137">
        <f>FINANCIALS!C20</f>
        <v>850018.69</v>
      </c>
      <c r="AT38" s="137">
        <f>FINANCIALS!D20</f>
        <v>323265.39</v>
      </c>
      <c r="AU38" s="137" t="str">
        <f>TEXT(FINANCIALS!E20,"$#,##0.00") &amp; " / " &amp; TEXT(FINANCIALS!E20/FINANCIALS!C20,"0.0%")</f>
        <v>$20,000.00 / 2.4%</v>
      </c>
      <c r="AV38" s="436" t="str">
        <f>FINANCIALS!F20</f>
        <v>🟢 On Track</v>
      </c>
      <c r="AW38" s="437"/>
    </row>
    <row r="39" spans="2:52" ht="17.100000000000001" customHeight="1">
      <c r="B39" s="4"/>
      <c r="C39" s="454"/>
      <c r="D39" s="418"/>
      <c r="E39" s="418"/>
      <c r="F39" s="418"/>
      <c r="G39" s="455"/>
      <c r="H39" s="5"/>
      <c r="J39" s="4"/>
      <c r="K39" s="396"/>
      <c r="L39" s="397"/>
      <c r="M39" s="397"/>
      <c r="N39" s="397"/>
      <c r="O39" s="397"/>
      <c r="P39" s="397"/>
      <c r="Q39" s="397"/>
      <c r="R39" s="397"/>
      <c r="S39" s="398"/>
      <c r="T39" s="396"/>
      <c r="U39" s="398"/>
      <c r="V39" s="396"/>
      <c r="W39" s="397"/>
      <c r="X39" s="397"/>
      <c r="Y39" s="397"/>
      <c r="Z39" s="397"/>
      <c r="AA39" s="397"/>
      <c r="AB39" s="397"/>
      <c r="AC39" s="397"/>
      <c r="AD39" s="397"/>
      <c r="AE39" s="397"/>
      <c r="AF39" s="397"/>
      <c r="AG39" s="397"/>
      <c r="AH39" s="397"/>
      <c r="AI39" s="398"/>
      <c r="AJ39" s="383"/>
      <c r="AK39" s="384"/>
      <c r="AL39" s="385"/>
      <c r="AM39" s="388"/>
      <c r="AN39" s="389"/>
      <c r="AO39" s="125"/>
      <c r="AQ39" s="4"/>
      <c r="AT39" s="33"/>
      <c r="AW39" s="125"/>
    </row>
    <row r="40" spans="2:52" ht="17.100000000000001" customHeight="1">
      <c r="B40" s="4"/>
      <c r="C40" s="456"/>
      <c r="D40" s="457"/>
      <c r="E40" s="457"/>
      <c r="F40" s="457"/>
      <c r="G40" s="458"/>
      <c r="H40" s="5"/>
      <c r="J40" s="4"/>
      <c r="K40" s="393" t="str">
        <f>+RISKS!C9</f>
        <v>Kitchen Cabinet Design</v>
      </c>
      <c r="L40" s="394"/>
      <c r="M40" s="394"/>
      <c r="N40" s="394"/>
      <c r="O40" s="394"/>
      <c r="P40" s="394"/>
      <c r="Q40" s="394"/>
      <c r="R40" s="394"/>
      <c r="S40" s="395"/>
      <c r="T40" s="393" t="str">
        <f>+RISKS!D9</f>
        <v>⚪ Low</v>
      </c>
      <c r="U40" s="395"/>
      <c r="V40" s="393" t="str">
        <f>+RISKS!E9</f>
        <v xml:space="preserve"> Change Orders Outstanding Change Orders Outstanding Change Orders Outstanding Change Orders Outstanding Change Orders </v>
      </c>
      <c r="W40" s="394"/>
      <c r="X40" s="394"/>
      <c r="Y40" s="394"/>
      <c r="Z40" s="394"/>
      <c r="AA40" s="394"/>
      <c r="AB40" s="394"/>
      <c r="AC40" s="394"/>
      <c r="AD40" s="394"/>
      <c r="AE40" s="394"/>
      <c r="AF40" s="394"/>
      <c r="AG40" s="394"/>
      <c r="AH40" s="394"/>
      <c r="AI40" s="395"/>
      <c r="AJ40" s="380" t="str">
        <f>+RISKS!F9</f>
        <v>Dir. of Construction</v>
      </c>
      <c r="AK40" s="381"/>
      <c r="AL40" s="382"/>
      <c r="AM40" s="386" t="str">
        <f>+RISKS!G9</f>
        <v>🔴 Not Started</v>
      </c>
      <c r="AN40" s="387"/>
      <c r="AO40" s="125"/>
      <c r="AQ40" s="4"/>
      <c r="AT40" s="189" t="str">
        <f>TEXT(INDEX(FINANCIALS!J25:J55,MATCH(AU4,FINANCIALS!I25:I55,0)),"#,###,###") &amp; " / " &amp; TEXT(((INDEX(FINANCIALS!J25:J55,MATCH(AU4,FINANCIALS!I25:I55,0))-INDEX(FINANCIALS!J25:J55,MATCH((EDATE(AU4,-1)),FINANCIALS!I25:I55,0)))/INDEX(FINANCIALS!J25:J55,MATCH((EDATE(AU4,-1)),FINANCIALS!I25:I55,0))),"0%")</f>
        <v>44 / 107%</v>
      </c>
      <c r="AU40" s="188">
        <f>FINANCIALS!J56</f>
        <v>112.5</v>
      </c>
      <c r="AW40" s="125"/>
    </row>
    <row r="41" spans="2:52" ht="17.100000000000001" customHeight="1">
      <c r="B41" s="4"/>
      <c r="C41" s="43"/>
      <c r="D41" s="43"/>
      <c r="E41" s="43"/>
      <c r="F41" s="43"/>
      <c r="G41" s="43"/>
      <c r="H41" s="5"/>
      <c r="J41" s="4"/>
      <c r="K41" s="396"/>
      <c r="L41" s="397"/>
      <c r="M41" s="397"/>
      <c r="N41" s="397"/>
      <c r="O41" s="397"/>
      <c r="P41" s="397"/>
      <c r="Q41" s="397"/>
      <c r="R41" s="397"/>
      <c r="S41" s="398"/>
      <c r="T41" s="396"/>
      <c r="U41" s="398"/>
      <c r="V41" s="396"/>
      <c r="W41" s="397"/>
      <c r="X41" s="397"/>
      <c r="Y41" s="397"/>
      <c r="Z41" s="397"/>
      <c r="AA41" s="397"/>
      <c r="AB41" s="397"/>
      <c r="AC41" s="397"/>
      <c r="AD41" s="397"/>
      <c r="AE41" s="397"/>
      <c r="AF41" s="397"/>
      <c r="AG41" s="397"/>
      <c r="AH41" s="397"/>
      <c r="AI41" s="398"/>
      <c r="AJ41" s="383"/>
      <c r="AK41" s="384"/>
      <c r="AL41" s="385"/>
      <c r="AM41" s="388"/>
      <c r="AN41" s="389"/>
      <c r="AO41" s="125"/>
      <c r="AQ41" s="4"/>
      <c r="AT41" s="158" t="s">
        <v>94</v>
      </c>
      <c r="AU41" s="158" t="s">
        <v>95</v>
      </c>
      <c r="AW41" s="125"/>
      <c r="AZ41" s="187"/>
    </row>
    <row r="42" spans="2:52" ht="18" customHeight="1">
      <c r="B42" s="4"/>
      <c r="C42" s="451" t="str">
        <f>IF(WINS!C10=0," ",WINS!C10)</f>
        <v>Major Submittals Approved (Window Wall, Porcelain, Doors)</v>
      </c>
      <c r="D42" s="452"/>
      <c r="E42" s="452"/>
      <c r="F42" s="452"/>
      <c r="G42" s="453"/>
      <c r="H42" s="5"/>
      <c r="J42" s="4"/>
      <c r="K42" s="393" t="str">
        <f>+RISKS!C10</f>
        <v>Kitchen Cabinet Design</v>
      </c>
      <c r="L42" s="394"/>
      <c r="M42" s="394"/>
      <c r="N42" s="394"/>
      <c r="O42" s="394"/>
      <c r="P42" s="394"/>
      <c r="Q42" s="394"/>
      <c r="R42" s="394"/>
      <c r="S42" s="395"/>
      <c r="T42" s="393" t="str">
        <f>+RISKS!D10</f>
        <v>🟡 Medium</v>
      </c>
      <c r="U42" s="395"/>
      <c r="V42" s="393" t="str">
        <f>+RISKS!E10</f>
        <v xml:space="preserve"> Change Orders Outstanding Change Orders Outstanding Change Orders Outstanding Change Orders Outstanding Change Orders </v>
      </c>
      <c r="W42" s="394"/>
      <c r="X42" s="394"/>
      <c r="Y42" s="394"/>
      <c r="Z42" s="394"/>
      <c r="AA42" s="394"/>
      <c r="AB42" s="394"/>
      <c r="AC42" s="394"/>
      <c r="AD42" s="394"/>
      <c r="AE42" s="394"/>
      <c r="AF42" s="394"/>
      <c r="AG42" s="394"/>
      <c r="AH42" s="394"/>
      <c r="AI42" s="395"/>
      <c r="AJ42" s="380" t="str">
        <f>+RISKS!F10</f>
        <v>Dir. of Construction</v>
      </c>
      <c r="AK42" s="381"/>
      <c r="AL42" s="382"/>
      <c r="AM42" s="386" t="str">
        <f>+RISKS!G10</f>
        <v>🔴 Not Started</v>
      </c>
      <c r="AN42" s="387"/>
      <c r="AO42" s="125"/>
      <c r="AQ42" s="144"/>
      <c r="AR42" s="122"/>
      <c r="AS42" s="122"/>
      <c r="AT42" s="428" t="s">
        <v>96</v>
      </c>
      <c r="AU42" s="428"/>
      <c r="AV42" s="122"/>
      <c r="AW42" s="250"/>
    </row>
    <row r="43" spans="2:52" ht="20.100000000000001" customHeight="1">
      <c r="B43" s="4"/>
      <c r="C43" s="454"/>
      <c r="D43" s="418"/>
      <c r="E43" s="418"/>
      <c r="F43" s="418"/>
      <c r="G43" s="455"/>
      <c r="H43" s="5"/>
      <c r="J43" s="4"/>
      <c r="K43" s="396"/>
      <c r="L43" s="397"/>
      <c r="M43" s="397"/>
      <c r="N43" s="397"/>
      <c r="O43" s="397"/>
      <c r="P43" s="397"/>
      <c r="Q43" s="397"/>
      <c r="R43" s="397"/>
      <c r="S43" s="398"/>
      <c r="T43" s="396"/>
      <c r="U43" s="398"/>
      <c r="V43" s="396"/>
      <c r="W43" s="397"/>
      <c r="X43" s="397"/>
      <c r="Y43" s="397"/>
      <c r="Z43" s="397"/>
      <c r="AA43" s="397"/>
      <c r="AB43" s="397"/>
      <c r="AC43" s="397"/>
      <c r="AD43" s="397"/>
      <c r="AE43" s="397"/>
      <c r="AF43" s="397"/>
      <c r="AG43" s="397"/>
      <c r="AH43" s="397"/>
      <c r="AI43" s="398"/>
      <c r="AJ43" s="383"/>
      <c r="AK43" s="384"/>
      <c r="AL43" s="385"/>
      <c r="AM43" s="388"/>
      <c r="AN43" s="389"/>
      <c r="AO43" s="125"/>
      <c r="AR43" s="29"/>
      <c r="AS43" s="29"/>
      <c r="AT43" s="156"/>
      <c r="AV43" s="53"/>
      <c r="AW43" s="246"/>
    </row>
    <row r="44" spans="2:52" ht="17.100000000000001" customHeight="1">
      <c r="B44" s="4"/>
      <c r="C44" s="454"/>
      <c r="D44" s="418"/>
      <c r="E44" s="418"/>
      <c r="F44" s="418"/>
      <c r="G44" s="455"/>
      <c r="H44" s="5"/>
      <c r="J44" s="6"/>
      <c r="K44" s="7"/>
      <c r="L44" s="7"/>
      <c r="M44" s="7"/>
      <c r="N44" s="7"/>
      <c r="O44" s="7"/>
      <c r="P44" s="7"/>
      <c r="Q44" s="7"/>
      <c r="R44" s="7"/>
      <c r="S44" s="7"/>
      <c r="T44" s="7"/>
      <c r="U44" s="83"/>
      <c r="V44" s="7"/>
      <c r="W44" s="7"/>
      <c r="X44" s="7"/>
      <c r="Y44" s="7"/>
      <c r="Z44" s="7"/>
      <c r="AA44" s="83"/>
      <c r="AB44" s="83"/>
      <c r="AC44" s="83"/>
      <c r="AD44" s="83"/>
      <c r="AE44" s="83"/>
      <c r="AF44" s="83"/>
      <c r="AG44" s="83"/>
      <c r="AH44" s="83"/>
      <c r="AI44" s="83"/>
      <c r="AJ44" s="83"/>
      <c r="AK44" s="83"/>
      <c r="AL44" s="83"/>
      <c r="AM44" s="83"/>
      <c r="AN44" s="83"/>
      <c r="AO44" s="126"/>
      <c r="AQ44" s="429" t="s">
        <v>97</v>
      </c>
      <c r="AR44" s="430"/>
      <c r="AS44" s="430"/>
      <c r="AT44" s="430"/>
      <c r="AU44" s="430"/>
      <c r="AV44" s="430"/>
      <c r="AW44" s="431"/>
    </row>
    <row r="45" spans="2:52" ht="17.100000000000001" customHeight="1">
      <c r="B45" s="4"/>
      <c r="C45" s="454"/>
      <c r="D45" s="418"/>
      <c r="E45" s="418"/>
      <c r="F45" s="418"/>
      <c r="G45" s="455"/>
      <c r="H45" s="5"/>
      <c r="AQ45" s="432"/>
      <c r="AR45" s="433"/>
      <c r="AS45" s="139"/>
      <c r="AT45" s="139"/>
      <c r="AU45" s="139"/>
      <c r="AV45" s="139"/>
      <c r="AW45" s="159"/>
    </row>
    <row r="46" spans="2:52" ht="17.100000000000001" customHeight="1">
      <c r="B46" s="4"/>
      <c r="C46" s="456"/>
      <c r="D46" s="457"/>
      <c r="E46" s="457"/>
      <c r="F46" s="457"/>
      <c r="G46" s="458"/>
      <c r="H46" s="5"/>
      <c r="I46" s="127"/>
      <c r="J46" s="413" t="s">
        <v>98</v>
      </c>
      <c r="K46" s="413"/>
      <c r="L46" s="413"/>
      <c r="M46" s="413"/>
      <c r="N46" s="413"/>
      <c r="O46" s="413"/>
      <c r="P46" s="413"/>
      <c r="Q46" s="413"/>
      <c r="R46" s="413"/>
      <c r="S46" s="413"/>
      <c r="T46" s="413"/>
      <c r="U46" s="413"/>
      <c r="V46" s="413"/>
      <c r="W46" s="413"/>
      <c r="X46" s="413"/>
      <c r="Y46" s="413"/>
      <c r="Z46" s="413"/>
      <c r="AA46" s="413"/>
      <c r="AB46" s="413"/>
      <c r="AC46" s="413"/>
      <c r="AD46" s="413"/>
      <c r="AE46" s="413"/>
      <c r="AF46" s="413"/>
      <c r="AG46" s="413"/>
      <c r="AH46" s="413"/>
      <c r="AI46" s="413"/>
      <c r="AJ46" s="413"/>
      <c r="AK46" s="413"/>
      <c r="AL46" s="413"/>
      <c r="AM46" s="413"/>
      <c r="AN46" s="413"/>
      <c r="AO46" s="414"/>
      <c r="AQ46" s="165"/>
      <c r="AR46" s="139"/>
      <c r="AS46" s="139"/>
      <c r="AT46" s="139"/>
      <c r="AU46" s="139"/>
      <c r="AV46" s="139"/>
      <c r="AW46" s="140"/>
    </row>
    <row r="47" spans="2:52" ht="17.100000000000001" customHeight="1">
      <c r="B47" s="4"/>
      <c r="C47" s="43"/>
      <c r="D47" s="43"/>
      <c r="E47" s="43"/>
      <c r="F47" s="43"/>
      <c r="G47" s="43"/>
      <c r="H47" s="5"/>
      <c r="J47" s="4"/>
      <c r="M47" s="178"/>
      <c r="N47" s="178"/>
      <c r="O47" s="178"/>
      <c r="AI47" s="178"/>
      <c r="AJ47" s="178"/>
      <c r="AK47" s="178"/>
      <c r="AL47" s="178"/>
      <c r="AM47" s="178"/>
      <c r="AO47" s="5"/>
      <c r="AQ47" s="165"/>
      <c r="AR47" s="139"/>
      <c r="AS47" s="139"/>
      <c r="AT47" s="139"/>
      <c r="AU47" s="139"/>
      <c r="AV47" s="139"/>
      <c r="AW47" s="140"/>
    </row>
    <row r="48" spans="2:52" ht="21" customHeight="1">
      <c r="B48" s="4"/>
      <c r="C48" s="451" t="str">
        <f>IF(WINS!C11=0," ",WINS!C11)</f>
        <v>No accidents</v>
      </c>
      <c r="D48" s="452"/>
      <c r="E48" s="452"/>
      <c r="F48" s="452"/>
      <c r="G48" s="453"/>
      <c r="H48" s="5"/>
      <c r="J48" s="4"/>
      <c r="K48" s="440" t="str">
        <f>SAFETY!B36</f>
        <v>TIMEFRAME</v>
      </c>
      <c r="L48" s="440"/>
      <c r="M48" s="448" t="str">
        <f>SAFETY!C36</f>
        <v>CATEGORY</v>
      </c>
      <c r="N48" s="449"/>
      <c r="O48" s="450"/>
      <c r="P48" s="445" t="str">
        <f>SAFETY!D36</f>
        <v>DESCRIPTION/ACTIVITY</v>
      </c>
      <c r="Q48" s="446"/>
      <c r="R48" s="446"/>
      <c r="S48" s="446"/>
      <c r="T48" s="447"/>
      <c r="U48" s="440" t="str">
        <f>SAFETY!E36</f>
        <v>STATUS</v>
      </c>
      <c r="V48" s="440"/>
      <c r="W48" s="440" t="str">
        <f>SAFETY!F36</f>
        <v>NOTES/OUTCOME/ACTION</v>
      </c>
      <c r="X48" s="440"/>
      <c r="Y48" s="440"/>
      <c r="Z48" s="440"/>
      <c r="AA48" s="440"/>
      <c r="AB48" s="440"/>
      <c r="AC48" s="440"/>
      <c r="AD48" s="440"/>
      <c r="AE48" s="440" t="str">
        <f>SAFETY!G36</f>
        <v>RESPONSIBLE</v>
      </c>
      <c r="AF48" s="440"/>
      <c r="AG48" s="440"/>
      <c r="AH48" s="43"/>
      <c r="AI48" s="420" t="str">
        <f>TEXT(INDEX(SAFETY!D3:D33,MATCH(AU4,SAFETY!C3:C33,0)),"#,###,###") &amp; " / " &amp; TEXT((INDEX(SAFETY!D3:D33,MATCH(AU4,SAFETY!C3:C33,0))-INDEX(SAFETY!D3:D33,MATCH((EDATE(AU4,-1)),SAFETY!C3:C33,0)))/INDEX(SAFETY!D3:D33,MATCH((EDATE(AU4,-1)),SAFETY!C3:C33,0)),"0.0%")</f>
        <v>4,635 / 9.7%</v>
      </c>
      <c r="AJ48" s="420"/>
      <c r="AK48" s="420"/>
      <c r="AL48" s="420"/>
      <c r="AM48" s="423">
        <f>SAFETY!D34</f>
        <v>114231</v>
      </c>
      <c r="AN48" s="423"/>
      <c r="AO48" s="5"/>
      <c r="AQ48" s="165"/>
      <c r="AR48" s="139"/>
      <c r="AS48" s="139"/>
      <c r="AT48" s="139"/>
      <c r="AU48" s="139"/>
      <c r="AV48" s="139"/>
      <c r="AW48" s="140"/>
    </row>
    <row r="49" spans="2:53" ht="17.100000000000001" customHeight="1">
      <c r="B49" s="4"/>
      <c r="C49" s="454"/>
      <c r="D49" s="418"/>
      <c r="E49" s="418"/>
      <c r="F49" s="418"/>
      <c r="G49" s="455"/>
      <c r="H49" s="5"/>
      <c r="J49" s="4"/>
      <c r="K49" s="481" t="str">
        <f>SAFETY!B37</f>
        <v>Lookback</v>
      </c>
      <c r="L49" s="482"/>
      <c r="M49" s="485" t="str">
        <f>SAFETY!C37</f>
        <v>Toolbox Talk – Scheduled</v>
      </c>
      <c r="N49" s="486"/>
      <c r="O49" s="487"/>
      <c r="P49" s="485" t="str">
        <f>SAFETY!D37</f>
        <v>Scaffold Overbuild</v>
      </c>
      <c r="Q49" s="486"/>
      <c r="R49" s="486"/>
      <c r="S49" s="486"/>
      <c r="T49" s="487"/>
      <c r="U49" s="481" t="str">
        <f>SAFETY!E37</f>
        <v>🟢 Completed</v>
      </c>
      <c r="V49" s="482"/>
      <c r="W49" s="485" t="str">
        <f>SAFETY!F37</f>
        <v>Signed off, executed per plan</v>
      </c>
      <c r="X49" s="486"/>
      <c r="Y49" s="486"/>
      <c r="Z49" s="486"/>
      <c r="AA49" s="486"/>
      <c r="AB49" s="486"/>
      <c r="AC49" s="486"/>
      <c r="AD49" s="487"/>
      <c r="AE49" s="485" t="str">
        <f>SAFETY!G37</f>
        <v>Asst. Super</v>
      </c>
      <c r="AF49" s="486"/>
      <c r="AG49" s="487"/>
      <c r="AI49" s="352" t="s">
        <v>94</v>
      </c>
      <c r="AJ49" s="352"/>
      <c r="AK49" s="352"/>
      <c r="AL49" s="352"/>
      <c r="AM49" s="166" t="s">
        <v>95</v>
      </c>
      <c r="AN49" s="166"/>
      <c r="AO49" s="5"/>
      <c r="AQ49" s="165"/>
      <c r="AR49" s="139"/>
      <c r="AS49" s="139"/>
      <c r="AT49" s="139"/>
      <c r="AU49" s="139"/>
      <c r="AV49" s="139"/>
      <c r="AW49" s="140"/>
    </row>
    <row r="50" spans="2:53" ht="17.100000000000001" customHeight="1">
      <c r="B50" s="4"/>
      <c r="C50" s="454"/>
      <c r="D50" s="418"/>
      <c r="E50" s="418"/>
      <c r="F50" s="418"/>
      <c r="G50" s="455"/>
      <c r="H50" s="5"/>
      <c r="J50" s="4"/>
      <c r="K50" s="483"/>
      <c r="L50" s="484"/>
      <c r="M50" s="488"/>
      <c r="N50" s="489"/>
      <c r="O50" s="490"/>
      <c r="P50" s="488"/>
      <c r="Q50" s="489"/>
      <c r="R50" s="489"/>
      <c r="S50" s="489"/>
      <c r="T50" s="490"/>
      <c r="U50" s="483"/>
      <c r="V50" s="484"/>
      <c r="W50" s="488"/>
      <c r="X50" s="489"/>
      <c r="Y50" s="489"/>
      <c r="Z50" s="489"/>
      <c r="AA50" s="489"/>
      <c r="AB50" s="489"/>
      <c r="AC50" s="489"/>
      <c r="AD50" s="490"/>
      <c r="AE50" s="488"/>
      <c r="AF50" s="489"/>
      <c r="AG50" s="490"/>
      <c r="AI50" s="427" t="s">
        <v>99</v>
      </c>
      <c r="AJ50" s="427"/>
      <c r="AK50" s="427"/>
      <c r="AL50" s="427"/>
      <c r="AM50" s="427"/>
      <c r="AN50" s="427"/>
      <c r="AO50" s="5"/>
      <c r="AQ50" s="165"/>
      <c r="AR50" s="139"/>
      <c r="AS50" s="139"/>
      <c r="AT50" s="139"/>
      <c r="AU50" s="139"/>
      <c r="AV50" s="139"/>
      <c r="AW50" s="140"/>
    </row>
    <row r="51" spans="2:53" ht="21" customHeight="1">
      <c r="B51" s="4"/>
      <c r="C51" s="454"/>
      <c r="D51" s="418"/>
      <c r="E51" s="418"/>
      <c r="F51" s="418"/>
      <c r="G51" s="455"/>
      <c r="H51" s="5"/>
      <c r="J51" s="4"/>
      <c r="K51" s="481" t="str">
        <f>SAFETY!B38</f>
        <v>Lookback</v>
      </c>
      <c r="L51" s="482"/>
      <c r="M51" s="485" t="str">
        <f>SAFETY!C38</f>
        <v>Notable Visitor – FDNY</v>
      </c>
      <c r="N51" s="486"/>
      <c r="O51" s="487"/>
      <c r="P51" s="485" t="str">
        <f>SAFETY!D38</f>
        <v>Fall Protection</v>
      </c>
      <c r="Q51" s="486"/>
      <c r="R51" s="486"/>
      <c r="S51" s="486"/>
      <c r="T51" s="487"/>
      <c r="U51" s="481" t="str">
        <f>SAFETY!E38</f>
        <v>🟡 Scheduled</v>
      </c>
      <c r="V51" s="482"/>
      <c r="W51" s="485" t="str">
        <f>SAFETY!F38</f>
        <v>28 attendees, good feedback from field</v>
      </c>
      <c r="X51" s="486"/>
      <c r="Y51" s="486"/>
      <c r="Z51" s="486"/>
      <c r="AA51" s="486"/>
      <c r="AB51" s="486"/>
      <c r="AC51" s="486"/>
      <c r="AD51" s="487"/>
      <c r="AE51" s="485" t="str">
        <f>SAFETY!G38</f>
        <v>Dir. of Construction</v>
      </c>
      <c r="AF51" s="486"/>
      <c r="AG51" s="487"/>
      <c r="AH51" s="166"/>
      <c r="AI51" s="420">
        <f>INDEX(SAFETY!E3:E33,MATCH(AU4,SAFETY!C3:C33,0))</f>
        <v>0</v>
      </c>
      <c r="AJ51" s="420"/>
      <c r="AK51" s="420"/>
      <c r="AL51" s="420"/>
      <c r="AM51" s="420">
        <f>SAFETY!E34</f>
        <v>1</v>
      </c>
      <c r="AN51" s="420"/>
      <c r="AO51" s="5"/>
      <c r="AQ51" s="165"/>
      <c r="AR51" s="139"/>
      <c r="AS51" s="139"/>
      <c r="AT51" s="139"/>
      <c r="AU51" s="139"/>
      <c r="AV51" s="139"/>
      <c r="AW51" s="140"/>
    </row>
    <row r="52" spans="2:53" ht="18" customHeight="1">
      <c r="B52" s="4"/>
      <c r="C52" s="456"/>
      <c r="D52" s="457"/>
      <c r="E52" s="457"/>
      <c r="F52" s="457"/>
      <c r="G52" s="458"/>
      <c r="H52" s="5"/>
      <c r="J52" s="4"/>
      <c r="K52" s="483"/>
      <c r="L52" s="484"/>
      <c r="M52" s="488"/>
      <c r="N52" s="489"/>
      <c r="O52" s="490"/>
      <c r="P52" s="488"/>
      <c r="Q52" s="489"/>
      <c r="R52" s="489"/>
      <c r="S52" s="489"/>
      <c r="T52" s="490"/>
      <c r="U52" s="483"/>
      <c r="V52" s="484"/>
      <c r="W52" s="488"/>
      <c r="X52" s="489"/>
      <c r="Y52" s="489"/>
      <c r="Z52" s="489"/>
      <c r="AA52" s="489"/>
      <c r="AB52" s="489"/>
      <c r="AC52" s="489"/>
      <c r="AD52" s="490"/>
      <c r="AE52" s="488"/>
      <c r="AF52" s="489"/>
      <c r="AG52" s="490"/>
      <c r="AH52" s="123"/>
      <c r="AI52" s="352" t="s">
        <v>100</v>
      </c>
      <c r="AJ52" s="352"/>
      <c r="AK52" s="352"/>
      <c r="AL52" s="352"/>
      <c r="AM52" s="166" t="s">
        <v>95</v>
      </c>
      <c r="AN52" s="166"/>
      <c r="AO52" s="5"/>
      <c r="AQ52" s="165"/>
      <c r="AR52" s="139"/>
      <c r="AS52" s="139"/>
      <c r="AT52" s="139"/>
      <c r="AU52" s="139"/>
      <c r="AV52" s="139"/>
      <c r="AW52" s="140"/>
    </row>
    <row r="53" spans="2:53" ht="17.100000000000001" customHeight="1">
      <c r="B53" s="4"/>
      <c r="C53" s="43"/>
      <c r="D53" s="43"/>
      <c r="E53" s="43"/>
      <c r="F53" s="43"/>
      <c r="G53" s="43"/>
      <c r="H53" s="5"/>
      <c r="J53" s="4"/>
      <c r="K53" s="481" t="str">
        <f>SAFETY!B39</f>
        <v>Lookback</v>
      </c>
      <c r="L53" s="482"/>
      <c r="M53" s="485" t="str">
        <f>SAFETY!C39</f>
        <v>Notable Visitor – FDNY</v>
      </c>
      <c r="N53" s="486"/>
      <c r="O53" s="487"/>
      <c r="P53" s="485" t="str">
        <f>SAFETY!D39</f>
        <v>Heat Stress Awareness</v>
      </c>
      <c r="Q53" s="486"/>
      <c r="R53" s="486"/>
      <c r="S53" s="486"/>
      <c r="T53" s="487"/>
      <c r="U53" s="481" t="str">
        <f>SAFETY!E39</f>
        <v>🟡 Scheduled</v>
      </c>
      <c r="V53" s="482"/>
      <c r="W53" s="485" t="str">
        <f>SAFETY!F39</f>
        <v>Held after near miss, all trades participated</v>
      </c>
      <c r="X53" s="486"/>
      <c r="Y53" s="486"/>
      <c r="Z53" s="486"/>
      <c r="AA53" s="486"/>
      <c r="AB53" s="486"/>
      <c r="AC53" s="486"/>
      <c r="AD53" s="487"/>
      <c r="AE53" s="485" t="str">
        <f>SAFETY!G39</f>
        <v>Dir. of Construction</v>
      </c>
      <c r="AF53" s="486"/>
      <c r="AG53" s="487"/>
      <c r="AH53" s="120"/>
      <c r="AI53" s="421" t="s">
        <v>101</v>
      </c>
      <c r="AJ53" s="421"/>
      <c r="AK53" s="421"/>
      <c r="AL53" s="421"/>
      <c r="AM53" s="421"/>
      <c r="AN53" s="421"/>
      <c r="AO53" s="5"/>
      <c r="AQ53" s="165"/>
      <c r="AR53" s="139"/>
      <c r="AS53" s="139"/>
      <c r="AT53" s="139"/>
      <c r="AU53" s="139"/>
      <c r="AV53" s="139"/>
      <c r="AW53" s="140"/>
    </row>
    <row r="54" spans="2:53" ht="21" customHeight="1">
      <c r="B54" s="4"/>
      <c r="C54" s="451" t="str">
        <f>IF(WINS!C12=0," ",WINS!C12)</f>
        <v>Quickly Rescinded PSWO</v>
      </c>
      <c r="D54" s="452"/>
      <c r="E54" s="452"/>
      <c r="F54" s="452"/>
      <c r="G54" s="476"/>
      <c r="H54" s="5"/>
      <c r="J54" s="4"/>
      <c r="K54" s="483"/>
      <c r="L54" s="484"/>
      <c r="M54" s="488"/>
      <c r="N54" s="489"/>
      <c r="O54" s="490"/>
      <c r="P54" s="488"/>
      <c r="Q54" s="489"/>
      <c r="R54" s="489"/>
      <c r="S54" s="489"/>
      <c r="T54" s="490"/>
      <c r="U54" s="483"/>
      <c r="V54" s="484"/>
      <c r="W54" s="488"/>
      <c r="X54" s="489"/>
      <c r="Y54" s="489"/>
      <c r="Z54" s="489"/>
      <c r="AA54" s="489"/>
      <c r="AB54" s="489"/>
      <c r="AC54" s="489"/>
      <c r="AD54" s="490"/>
      <c r="AE54" s="488"/>
      <c r="AF54" s="489"/>
      <c r="AG54" s="490"/>
      <c r="AH54" s="43"/>
      <c r="AI54" s="420" t="str">
        <f>TEXT(INDEX(SAFETY!F3:F33,MATCH(AU4,SAFETY!C3:C33,0)),"#,###,###") &amp; " / " &amp; TEXT((INDEX(SAFETY!F3:F33,MATCH(AU4,SAFETY!C3:C33,0))-INDEX(SAFETY!F3:F33,MATCH((EDATE(AU4,-1)),SAFETY!C3:C33,0)))/INDEX(SAFETY!F3:F33,MATCH((EDATE(AU4,-1)),SAFETY!C3:C33,0)),"0.0%")</f>
        <v>17 / -29.2%</v>
      </c>
      <c r="AJ54" s="420"/>
      <c r="AK54" s="420"/>
      <c r="AL54" s="420"/>
      <c r="AM54" s="420">
        <f>SAFETY!F34</f>
        <v>120</v>
      </c>
      <c r="AN54" s="420"/>
      <c r="AO54" s="5"/>
      <c r="AQ54" s="165"/>
      <c r="AR54" s="139"/>
      <c r="AS54" s="139"/>
      <c r="AT54" s="139"/>
      <c r="AU54" s="139"/>
      <c r="AV54" s="139"/>
      <c r="AW54" s="140"/>
    </row>
    <row r="55" spans="2:53" ht="17.100000000000001" customHeight="1">
      <c r="B55" s="4"/>
      <c r="C55" s="454"/>
      <c r="D55" s="418"/>
      <c r="E55" s="418"/>
      <c r="F55" s="418"/>
      <c r="G55" s="477"/>
      <c r="H55" s="5"/>
      <c r="J55" s="4"/>
      <c r="K55" s="481" t="str">
        <f>SAFETY!B40</f>
        <v>Lookback</v>
      </c>
      <c r="L55" s="482"/>
      <c r="M55" s="485" t="str">
        <f>SAFETY!C40</f>
        <v>Notable Visitor – FDNY</v>
      </c>
      <c r="N55" s="486"/>
      <c r="O55" s="487"/>
      <c r="P55" s="485" t="str">
        <f>SAFETY!D40</f>
        <v>OSHA Informal Walkthrough</v>
      </c>
      <c r="Q55" s="486"/>
      <c r="R55" s="486"/>
      <c r="S55" s="486"/>
      <c r="T55" s="487"/>
      <c r="U55" s="481" t="str">
        <f>SAFETY!E40</f>
        <v>🟡 Scheduled</v>
      </c>
      <c r="V55" s="482"/>
      <c r="W55" s="485" t="str">
        <f>SAFETY!F40</f>
        <v>No citations, documented for record</v>
      </c>
      <c r="X55" s="486"/>
      <c r="Y55" s="486"/>
      <c r="Z55" s="486"/>
      <c r="AA55" s="486"/>
      <c r="AB55" s="486"/>
      <c r="AC55" s="486"/>
      <c r="AD55" s="487"/>
      <c r="AE55" s="485" t="str">
        <f>SAFETY!G40</f>
        <v>Dir. of Construction</v>
      </c>
      <c r="AF55" s="486"/>
      <c r="AG55" s="487"/>
      <c r="AH55" s="43"/>
      <c r="AI55" s="352" t="s">
        <v>94</v>
      </c>
      <c r="AJ55" s="352"/>
      <c r="AK55" s="352"/>
      <c r="AL55" s="352"/>
      <c r="AM55" s="166" t="s">
        <v>95</v>
      </c>
      <c r="AN55" s="166"/>
      <c r="AO55" s="5"/>
      <c r="AQ55" s="165"/>
      <c r="AR55" s="139"/>
      <c r="AS55" s="139"/>
      <c r="AT55" s="139"/>
      <c r="AU55" s="139"/>
      <c r="AV55" s="139"/>
      <c r="AW55" s="140"/>
    </row>
    <row r="56" spans="2:53" ht="18" customHeight="1">
      <c r="B56" s="4"/>
      <c r="C56" s="454"/>
      <c r="D56" s="418"/>
      <c r="E56" s="418"/>
      <c r="F56" s="418"/>
      <c r="G56" s="477"/>
      <c r="H56" s="5"/>
      <c r="J56" s="4"/>
      <c r="K56" s="483"/>
      <c r="L56" s="484"/>
      <c r="M56" s="488"/>
      <c r="N56" s="489"/>
      <c r="O56" s="490"/>
      <c r="P56" s="488"/>
      <c r="Q56" s="489"/>
      <c r="R56" s="489"/>
      <c r="S56" s="489"/>
      <c r="T56" s="490"/>
      <c r="U56" s="483"/>
      <c r="V56" s="484"/>
      <c r="W56" s="488"/>
      <c r="X56" s="489"/>
      <c r="Y56" s="489"/>
      <c r="Z56" s="489"/>
      <c r="AA56" s="489"/>
      <c r="AB56" s="489"/>
      <c r="AC56" s="489"/>
      <c r="AD56" s="490"/>
      <c r="AE56" s="488"/>
      <c r="AF56" s="489"/>
      <c r="AG56" s="490"/>
      <c r="AI56" s="421" t="s">
        <v>102</v>
      </c>
      <c r="AJ56" s="421"/>
      <c r="AK56" s="421"/>
      <c r="AL56" s="421"/>
      <c r="AM56" s="421"/>
      <c r="AN56" s="421"/>
      <c r="AO56" s="5"/>
      <c r="AQ56" s="165"/>
      <c r="AR56" s="139"/>
      <c r="AS56" s="139"/>
      <c r="AT56" s="139"/>
      <c r="AU56" s="139"/>
      <c r="AV56" s="139"/>
      <c r="AW56" s="140"/>
    </row>
    <row r="57" spans="2:53" ht="18" customHeight="1">
      <c r="B57" s="4"/>
      <c r="C57" s="454"/>
      <c r="D57" s="418"/>
      <c r="E57" s="418"/>
      <c r="F57" s="418"/>
      <c r="G57" s="477"/>
      <c r="H57" s="5"/>
      <c r="J57" s="4"/>
      <c r="K57" s="481" t="str">
        <f>SAFETY!B41</f>
        <v>Lookback</v>
      </c>
      <c r="L57" s="482"/>
      <c r="M57" s="485" t="str">
        <f>SAFETY!C41</f>
        <v>Notable Visitor – FDNY</v>
      </c>
      <c r="N57" s="486"/>
      <c r="O57" s="487"/>
      <c r="P57" s="485" t="str">
        <f>SAFETY!D41</f>
        <v>Concrete Pour – Foundation</v>
      </c>
      <c r="Q57" s="486"/>
      <c r="R57" s="486"/>
      <c r="S57" s="486"/>
      <c r="T57" s="487"/>
      <c r="U57" s="481" t="str">
        <f>SAFETY!E41</f>
        <v>🟡 Scheduled</v>
      </c>
      <c r="V57" s="482"/>
      <c r="W57" s="485" t="str">
        <f>SAFETY!F41</f>
        <v>AHV secured, no issues during extended shift</v>
      </c>
      <c r="X57" s="486"/>
      <c r="Y57" s="486"/>
      <c r="Z57" s="486"/>
      <c r="AA57" s="486"/>
      <c r="AB57" s="486"/>
      <c r="AC57" s="486"/>
      <c r="AD57" s="487"/>
      <c r="AE57" s="485" t="str">
        <f>SAFETY!G41</f>
        <v>Dir. of Construction</v>
      </c>
      <c r="AF57" s="486"/>
      <c r="AG57" s="487"/>
      <c r="AI57" s="491">
        <f>SAFETY!L27</f>
        <v>1000</v>
      </c>
      <c r="AJ57" s="491"/>
      <c r="AK57" s="491"/>
      <c r="AL57" s="491"/>
      <c r="AM57" s="420">
        <f>COUNTIF(SAFETY!L3:L26,"&gt;1")</f>
        <v>1</v>
      </c>
      <c r="AN57" s="420"/>
      <c r="AO57" s="5"/>
      <c r="AQ57" s="165"/>
      <c r="AR57" s="139"/>
      <c r="AS57" s="139"/>
      <c r="AT57" s="139"/>
      <c r="AU57" s="139"/>
      <c r="AV57" s="139"/>
      <c r="AW57" s="140"/>
    </row>
    <row r="58" spans="2:53" ht="17.100000000000001" customHeight="1">
      <c r="B58" s="4"/>
      <c r="C58" s="454"/>
      <c r="D58" s="418"/>
      <c r="E58" s="418"/>
      <c r="F58" s="418"/>
      <c r="G58" s="477"/>
      <c r="H58" s="5"/>
      <c r="J58" s="4"/>
      <c r="K58" s="483"/>
      <c r="L58" s="484"/>
      <c r="M58" s="488"/>
      <c r="N58" s="489"/>
      <c r="O58" s="490"/>
      <c r="P58" s="488"/>
      <c r="Q58" s="489"/>
      <c r="R58" s="489"/>
      <c r="S58" s="489"/>
      <c r="T58" s="490"/>
      <c r="U58" s="483"/>
      <c r="V58" s="484"/>
      <c r="W58" s="488"/>
      <c r="X58" s="489"/>
      <c r="Y58" s="489"/>
      <c r="Z58" s="489"/>
      <c r="AA58" s="489"/>
      <c r="AB58" s="489"/>
      <c r="AC58" s="489"/>
      <c r="AD58" s="490"/>
      <c r="AE58" s="488"/>
      <c r="AF58" s="489"/>
      <c r="AG58" s="490"/>
      <c r="AI58" s="352" t="s">
        <v>103</v>
      </c>
      <c r="AJ58" s="352"/>
      <c r="AK58" s="352"/>
      <c r="AL58" s="352"/>
      <c r="AM58" s="166" t="s">
        <v>104</v>
      </c>
      <c r="AN58" s="166"/>
      <c r="AO58" s="5"/>
      <c r="AQ58" s="165"/>
      <c r="AR58" s="139"/>
      <c r="AS58" s="139"/>
      <c r="AT58" s="139"/>
      <c r="AU58" s="139"/>
      <c r="AV58" s="139"/>
      <c r="AW58" s="140"/>
    </row>
    <row r="59" spans="2:53" ht="17.100000000000001" customHeight="1">
      <c r="B59" s="4"/>
      <c r="C59" s="456"/>
      <c r="D59" s="457"/>
      <c r="E59" s="457"/>
      <c r="F59" s="457"/>
      <c r="G59" s="478"/>
      <c r="H59" s="5"/>
      <c r="J59" s="4"/>
      <c r="K59" s="43"/>
      <c r="L59" s="43"/>
      <c r="M59" s="43"/>
      <c r="N59" s="43"/>
      <c r="O59" s="43"/>
      <c r="P59" s="43"/>
      <c r="Q59" s="43"/>
      <c r="R59" s="43"/>
      <c r="S59" s="43"/>
      <c r="T59" s="43"/>
      <c r="U59" s="43"/>
      <c r="V59" s="43"/>
      <c r="W59" s="43"/>
      <c r="X59" s="43"/>
      <c r="Y59" s="43"/>
      <c r="Z59" s="43"/>
      <c r="AA59" s="43"/>
      <c r="AB59" s="43"/>
      <c r="AC59" s="43"/>
      <c r="AD59" s="43"/>
      <c r="AE59" s="43"/>
      <c r="AF59" s="43"/>
      <c r="AG59" s="43"/>
      <c r="AI59" s="492" t="s">
        <v>105</v>
      </c>
      <c r="AJ59" s="492"/>
      <c r="AK59" s="492"/>
      <c r="AL59" s="492"/>
      <c r="AM59" s="492"/>
      <c r="AN59" s="492"/>
      <c r="AO59" s="5"/>
      <c r="AQ59" s="165"/>
      <c r="AR59" s="139"/>
      <c r="AS59" s="139"/>
      <c r="AT59" s="139"/>
      <c r="AU59" s="139"/>
      <c r="AV59" s="139"/>
      <c r="AW59" s="140"/>
    </row>
    <row r="60" spans="2:53" ht="17.100000000000001" customHeight="1">
      <c r="B60" s="6"/>
      <c r="C60" s="7"/>
      <c r="D60" s="7"/>
      <c r="E60" s="7"/>
      <c r="F60" s="7"/>
      <c r="G60" s="7"/>
      <c r="H60" s="8"/>
      <c r="J60" s="144"/>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c r="AJ60" s="122"/>
      <c r="AK60" s="122"/>
      <c r="AL60" s="122"/>
      <c r="AM60" s="122"/>
      <c r="AN60" s="122"/>
      <c r="AO60" s="145"/>
      <c r="AQ60" s="163"/>
      <c r="AR60" s="141"/>
      <c r="AS60" s="141"/>
      <c r="AT60" s="142"/>
      <c r="AU60" s="122"/>
      <c r="AV60" s="143"/>
      <c r="AW60" s="160"/>
    </row>
    <row r="61" spans="2:53" ht="17.100000000000001" customHeight="1">
      <c r="B61" s="124"/>
      <c r="C61" s="124"/>
      <c r="D61" s="124"/>
      <c r="E61" s="124"/>
      <c r="F61" s="124"/>
      <c r="G61" s="124"/>
      <c r="H61" s="124"/>
    </row>
    <row r="62" spans="2:53" ht="18" customHeight="1">
      <c r="B62" s="372" t="s">
        <v>106</v>
      </c>
      <c r="C62" s="372"/>
      <c r="D62" s="372"/>
      <c r="E62" s="372"/>
      <c r="F62" s="372"/>
      <c r="G62" s="372"/>
      <c r="H62" s="373"/>
      <c r="J62" s="261" t="s">
        <v>107</v>
      </c>
      <c r="K62" s="269"/>
      <c r="L62" s="269"/>
      <c r="M62" s="269"/>
      <c r="N62" s="269"/>
      <c r="O62" s="269"/>
      <c r="P62" s="269"/>
      <c r="Q62" s="269"/>
      <c r="R62" s="269"/>
      <c r="S62" s="269"/>
      <c r="T62" s="269"/>
      <c r="U62" s="269"/>
      <c r="V62" s="269"/>
      <c r="W62" s="269"/>
      <c r="X62" s="269"/>
      <c r="Y62" s="269"/>
      <c r="Z62" s="269"/>
      <c r="AA62" s="269"/>
      <c r="AB62" s="269"/>
      <c r="AC62" s="269"/>
      <c r="AD62" s="269"/>
      <c r="AE62" s="269"/>
      <c r="AF62" s="269"/>
      <c r="AG62" s="269"/>
      <c r="AH62" s="269"/>
      <c r="AI62" s="269"/>
      <c r="AJ62" s="269"/>
      <c r="AK62" s="269"/>
      <c r="AL62" s="269"/>
      <c r="AM62" s="269"/>
      <c r="AN62" s="269"/>
      <c r="AO62" s="269"/>
      <c r="AP62" s="269"/>
      <c r="AQ62" s="269"/>
      <c r="AR62" s="269"/>
      <c r="AS62" s="269"/>
      <c r="AT62" s="269"/>
      <c r="AU62" s="269"/>
      <c r="AV62" s="269"/>
      <c r="AW62" s="262"/>
      <c r="BA62" s="309"/>
    </row>
    <row r="63" spans="2:53" ht="17.100000000000001" customHeight="1">
      <c r="B63" s="4"/>
      <c r="H63" s="5"/>
      <c r="J63" s="167"/>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W63" s="125"/>
    </row>
    <row r="64" spans="2:53" ht="21.95">
      <c r="B64" s="4"/>
      <c r="C64" s="326" t="s">
        <v>108</v>
      </c>
      <c r="D64" s="327"/>
      <c r="E64" s="327"/>
      <c r="F64" s="327"/>
      <c r="G64" s="328"/>
      <c r="H64" s="5"/>
      <c r="J64" s="203"/>
      <c r="K64" s="351">
        <f>INDEX(QUALITY!D3:D34,MATCH(AU4,QUALITY!C3:C34,0))</f>
        <v>17</v>
      </c>
      <c r="L64" s="351"/>
      <c r="M64" s="42">
        <f>QUALITY!D35</f>
        <v>77</v>
      </c>
      <c r="N64" s="200"/>
      <c r="O64" s="58">
        <f>INDEX(QUALITY!E3:E34,MATCH(AU4,QUALITY!C3:C34,0))</f>
        <v>0</v>
      </c>
      <c r="P64" s="42">
        <f>QUALITY!E35</f>
        <v>0</v>
      </c>
      <c r="Q64" s="121"/>
      <c r="R64" s="438" t="str">
        <f>QUALITY!B47</f>
        <v>TIMEFRAME</v>
      </c>
      <c r="S64" s="438"/>
      <c r="T64" s="438"/>
      <c r="U64" s="438" t="str">
        <f>QUALITY!C47</f>
        <v>CATEGORY</v>
      </c>
      <c r="V64" s="438"/>
      <c r="W64" s="438"/>
      <c r="X64" s="438"/>
      <c r="Y64" s="438"/>
      <c r="Z64" s="438"/>
      <c r="AA64" s="354" t="str">
        <f>QUALITY!D47</f>
        <v>DESCRIPTION</v>
      </c>
      <c r="AB64" s="439"/>
      <c r="AC64" s="439"/>
      <c r="AD64" s="439"/>
      <c r="AE64" s="439"/>
      <c r="AF64" s="439"/>
      <c r="AG64" s="439"/>
      <c r="AH64" s="439"/>
      <c r="AI64" s="355"/>
      <c r="AJ64" s="438" t="str">
        <f>QUALITY!E47</f>
        <v>TRADE</v>
      </c>
      <c r="AK64" s="438"/>
      <c r="AL64" s="438"/>
      <c r="AM64" s="354" t="str">
        <f>QUALITY!F47</f>
        <v>STATUS</v>
      </c>
      <c r="AN64" s="355"/>
      <c r="AO64" s="354" t="str">
        <f>QUALITY!G47</f>
        <v>OUTCOME / COMMENTS</v>
      </c>
      <c r="AP64" s="439"/>
      <c r="AQ64" s="439"/>
      <c r="AR64" s="439"/>
      <c r="AS64" s="355"/>
      <c r="AT64" s="208" t="str">
        <f>QUALITY!H47</f>
        <v>RESPONSIBLE</v>
      </c>
      <c r="AU64" s="438" t="str">
        <f>QUALITY!I47</f>
        <v>ACTION PLAN</v>
      </c>
      <c r="AV64" s="438"/>
      <c r="AW64" s="125"/>
    </row>
    <row r="65" spans="2:49" ht="17.100000000000001" customHeight="1">
      <c r="B65" s="4"/>
      <c r="C65" s="330">
        <f>'SCORECARD CALC'!G31</f>
        <v>0.59</v>
      </c>
      <c r="D65" s="331"/>
      <c r="E65" s="331"/>
      <c r="F65" s="331"/>
      <c r="G65" s="332"/>
      <c r="H65" s="5"/>
      <c r="J65" s="203"/>
      <c r="K65" s="352" t="s">
        <v>100</v>
      </c>
      <c r="L65" s="352"/>
      <c r="M65" s="198" t="s">
        <v>95</v>
      </c>
      <c r="N65" s="201"/>
      <c r="O65" s="166" t="s">
        <v>100</v>
      </c>
      <c r="P65" s="198" t="s">
        <v>95</v>
      </c>
      <c r="Q65" s="194"/>
      <c r="R65" s="353" t="str">
        <f>QUALITY!B48</f>
        <v>Lookback</v>
      </c>
      <c r="S65" s="353"/>
      <c r="T65" s="353"/>
      <c r="U65" s="353" t="str">
        <f>QUALITY!C48</f>
        <v>Quality – High-Risk Observation</v>
      </c>
      <c r="V65" s="353"/>
      <c r="W65" s="353"/>
      <c r="X65" s="353"/>
      <c r="Y65" s="353"/>
      <c r="Z65" s="353"/>
      <c r="AA65" s="336" t="str">
        <f>QUALITY!D48</f>
        <v>Uneven tile in Unit 405</v>
      </c>
      <c r="AB65" s="337"/>
      <c r="AC65" s="337"/>
      <c r="AD65" s="337"/>
      <c r="AE65" s="337"/>
      <c r="AF65" s="337"/>
      <c r="AG65" s="337"/>
      <c r="AH65" s="337"/>
      <c r="AI65" s="338"/>
      <c r="AJ65" s="441" t="str">
        <f>QUALITY!E48</f>
        <v>TileCo</v>
      </c>
      <c r="AK65" s="441"/>
      <c r="AL65" s="441"/>
      <c r="AM65" s="336" t="str">
        <f>QUALITY!F48</f>
        <v>🔴  Open</v>
      </c>
      <c r="AN65" s="338"/>
      <c r="AO65" s="336" t="str">
        <f>QUALITY!G48</f>
        <v>Pending rework</v>
      </c>
      <c r="AP65" s="337"/>
      <c r="AQ65" s="337"/>
      <c r="AR65" s="337"/>
      <c r="AS65" s="338"/>
      <c r="AT65" s="205" t="str">
        <f>QUALITY!H48</f>
        <v>Dir. of Construction</v>
      </c>
      <c r="AU65" s="353" t="str">
        <f>QUALITY!I48</f>
        <v>Schedule crew for rework</v>
      </c>
      <c r="AV65" s="353"/>
      <c r="AW65" s="125"/>
    </row>
    <row r="66" spans="2:49" ht="15.95" customHeight="1">
      <c r="B66" s="4"/>
      <c r="C66" s="330"/>
      <c r="D66" s="331"/>
      <c r="E66" s="331"/>
      <c r="F66" s="331"/>
      <c r="G66" s="332"/>
      <c r="H66" s="5"/>
      <c r="J66" s="203"/>
      <c r="K66" s="349" t="s">
        <v>109</v>
      </c>
      <c r="L66" s="349"/>
      <c r="M66" s="350"/>
      <c r="N66" s="200"/>
      <c r="O66" s="349" t="s">
        <v>110</v>
      </c>
      <c r="P66" s="350"/>
      <c r="Q66" s="193"/>
      <c r="R66" s="339" t="str">
        <f>QUALITY!B49</f>
        <v>Lookback</v>
      </c>
      <c r="S66" s="340"/>
      <c r="T66" s="341"/>
      <c r="U66" s="339" t="str">
        <f>QUALITY!C49</f>
        <v>Benchmark – Completed</v>
      </c>
      <c r="V66" s="340"/>
      <c r="W66" s="340"/>
      <c r="X66" s="340"/>
      <c r="Y66" s="340"/>
      <c r="Z66" s="341"/>
      <c r="AA66" s="339" t="str">
        <f>QUALITY!D49</f>
        <v>Tile Mockup</v>
      </c>
      <c r="AB66" s="340"/>
      <c r="AC66" s="340"/>
      <c r="AD66" s="340"/>
      <c r="AE66" s="340"/>
      <c r="AF66" s="340"/>
      <c r="AG66" s="340"/>
      <c r="AH66" s="340"/>
      <c r="AI66" s="341"/>
      <c r="AJ66" s="468" t="str">
        <f>QUALITY!E49</f>
        <v>TileCo</v>
      </c>
      <c r="AK66" s="469"/>
      <c r="AL66" s="470"/>
      <c r="AM66" s="339" t="str">
        <f>QUALITY!F49</f>
        <v>🟢  Passed</v>
      </c>
      <c r="AN66" s="341"/>
      <c r="AO66" s="336" t="str">
        <f>QUALITY!G49</f>
        <v>Signed off by owner</v>
      </c>
      <c r="AP66" s="337"/>
      <c r="AQ66" s="337"/>
      <c r="AR66" s="337"/>
      <c r="AS66" s="338"/>
      <c r="AT66" s="207" t="str">
        <f>QUALITY!H49</f>
        <v>Dir. of Construction</v>
      </c>
      <c r="AU66" s="339" t="str">
        <f>QUALITY!I49</f>
        <v>None</v>
      </c>
      <c r="AV66" s="341"/>
      <c r="AW66" s="125"/>
    </row>
    <row r="67" spans="2:49" ht="17.100000000000001" customHeight="1">
      <c r="B67" s="4"/>
      <c r="C67" s="333"/>
      <c r="D67" s="334"/>
      <c r="E67" s="334"/>
      <c r="F67" s="334"/>
      <c r="G67" s="335"/>
      <c r="H67" s="5"/>
      <c r="J67" s="204"/>
      <c r="K67" s="466">
        <f>IF(QUALITY!D38=0,"N/A",QUALITY!D38)</f>
        <v>1</v>
      </c>
      <c r="L67" s="466"/>
      <c r="M67" s="202">
        <f>IF(QUALITY!D39=0,"N/A",QUALITY!D39)</f>
        <v>2</v>
      </c>
      <c r="N67" s="210"/>
      <c r="O67" s="195">
        <f>IF(QUALITY!E38=0,"N/A",QUALITY!E38)</f>
        <v>3</v>
      </c>
      <c r="P67" s="202">
        <f>IF(QUALITY!E39=0,"N/A",QUALITY!E39)</f>
        <v>4</v>
      </c>
      <c r="R67" s="353" t="str">
        <f>QUALITY!B50</f>
        <v>Lookahead</v>
      </c>
      <c r="S67" s="353"/>
      <c r="T67" s="353"/>
      <c r="U67" s="353" t="str">
        <f>QUALITY!C50</f>
        <v>Benchmark – Scheduled</v>
      </c>
      <c r="V67" s="353"/>
      <c r="W67" s="353"/>
      <c r="X67" s="353"/>
      <c r="Y67" s="353"/>
      <c r="Z67" s="353"/>
      <c r="AA67" s="336" t="str">
        <f>QUALITY!D50</f>
        <v>Millwork Mockup</v>
      </c>
      <c r="AB67" s="337"/>
      <c r="AC67" s="337"/>
      <c r="AD67" s="337"/>
      <c r="AE67" s="337"/>
      <c r="AF67" s="337"/>
      <c r="AG67" s="337"/>
      <c r="AH67" s="337"/>
      <c r="AI67" s="338"/>
      <c r="AJ67" s="441" t="str">
        <f>QUALITY!E50</f>
        <v>LMN Millwork</v>
      </c>
      <c r="AK67" s="441"/>
      <c r="AL67" s="441"/>
      <c r="AM67" s="336" t="str">
        <f>QUALITY!F50</f>
        <v>🟡  Scheduled</v>
      </c>
      <c r="AN67" s="338"/>
      <c r="AO67" s="336" t="str">
        <f>QUALITY!G50</f>
        <v>Pending consultant date</v>
      </c>
      <c r="AP67" s="337"/>
      <c r="AQ67" s="337"/>
      <c r="AR67" s="337"/>
      <c r="AS67" s="338"/>
      <c r="AT67" s="205" t="str">
        <f>QUALITY!H50</f>
        <v>Dir. of Construction</v>
      </c>
      <c r="AU67" s="353" t="str">
        <f>QUALITY!I50</f>
        <v>Confirm samples / setup review</v>
      </c>
      <c r="AV67" s="353"/>
      <c r="AW67" s="125"/>
    </row>
    <row r="68" spans="2:49" ht="17.100000000000001" customHeight="1">
      <c r="B68" s="4"/>
      <c r="C68" s="329"/>
      <c r="D68" s="329"/>
      <c r="E68" s="329"/>
      <c r="F68" s="329"/>
      <c r="G68" s="329"/>
      <c r="H68" s="5"/>
      <c r="J68" s="204"/>
      <c r="K68" s="467" t="s">
        <v>111</v>
      </c>
      <c r="L68" s="467"/>
      <c r="M68" s="197" t="s">
        <v>112</v>
      </c>
      <c r="N68" s="199"/>
      <c r="O68" s="196" t="s">
        <v>111</v>
      </c>
      <c r="P68" s="197" t="s">
        <v>112</v>
      </c>
      <c r="R68" s="339" t="str">
        <f>QUALITY!B51</f>
        <v>Lookback</v>
      </c>
      <c r="S68" s="340"/>
      <c r="T68" s="341"/>
      <c r="U68" s="339" t="str">
        <f>QUALITY!C51</f>
        <v>Delivery – Rejected</v>
      </c>
      <c r="V68" s="340"/>
      <c r="W68" s="340"/>
      <c r="X68" s="340"/>
      <c r="Y68" s="340"/>
      <c r="Z68" s="341"/>
      <c r="AA68" s="339" t="str">
        <f>QUALITY!D51</f>
        <v>HVAC Unit delivery damaged</v>
      </c>
      <c r="AB68" s="340"/>
      <c r="AC68" s="340"/>
      <c r="AD68" s="340"/>
      <c r="AE68" s="340"/>
      <c r="AF68" s="340"/>
      <c r="AG68" s="340"/>
      <c r="AH68" s="340"/>
      <c r="AI68" s="341"/>
      <c r="AJ68" s="468" t="str">
        <f>QUALITY!E51</f>
        <v>MechSupplyCo</v>
      </c>
      <c r="AK68" s="469"/>
      <c r="AL68" s="470"/>
      <c r="AM68" s="339" t="str">
        <f>QUALITY!F51</f>
        <v>🔴  Rejected</v>
      </c>
      <c r="AN68" s="341"/>
      <c r="AO68" s="339" t="str">
        <f>QUALITY!G51</f>
        <v>Unit returned to vendor</v>
      </c>
      <c r="AP68" s="340"/>
      <c r="AQ68" s="340"/>
      <c r="AR68" s="340"/>
      <c r="AS68" s="341"/>
      <c r="AT68" s="474" t="str">
        <f>QUALITY!H51</f>
        <v>Dir. of Construction</v>
      </c>
      <c r="AU68" s="339" t="str">
        <f>QUALITY!I51</f>
        <v>Replacement arriving 6/25</v>
      </c>
      <c r="AV68" s="341"/>
      <c r="AW68" s="125"/>
    </row>
    <row r="69" spans="2:49" ht="6.95" customHeight="1">
      <c r="B69" s="4"/>
      <c r="H69" s="5"/>
      <c r="J69" s="204"/>
      <c r="K69" s="196"/>
      <c r="L69" s="196"/>
      <c r="M69" s="197"/>
      <c r="N69" s="199"/>
      <c r="O69" s="196"/>
      <c r="P69" s="197"/>
      <c r="R69" s="342"/>
      <c r="S69" s="343"/>
      <c r="T69" s="344"/>
      <c r="U69" s="342"/>
      <c r="V69" s="343"/>
      <c r="W69" s="343"/>
      <c r="X69" s="343"/>
      <c r="Y69" s="343"/>
      <c r="Z69" s="344"/>
      <c r="AA69" s="342"/>
      <c r="AB69" s="343"/>
      <c r="AC69" s="343"/>
      <c r="AD69" s="343"/>
      <c r="AE69" s="343"/>
      <c r="AF69" s="343"/>
      <c r="AG69" s="343"/>
      <c r="AH69" s="343"/>
      <c r="AI69" s="344"/>
      <c r="AJ69" s="471"/>
      <c r="AK69" s="472"/>
      <c r="AL69" s="473"/>
      <c r="AM69" s="342"/>
      <c r="AN69" s="344"/>
      <c r="AO69" s="342"/>
      <c r="AP69" s="343"/>
      <c r="AQ69" s="343"/>
      <c r="AR69" s="343"/>
      <c r="AS69" s="344"/>
      <c r="AT69" s="475"/>
      <c r="AU69" s="342"/>
      <c r="AV69" s="344"/>
      <c r="AW69" s="125"/>
    </row>
    <row r="70" spans="2:49" ht="17.100000000000001" customHeight="1">
      <c r="B70" s="4"/>
      <c r="H70" s="5"/>
      <c r="J70" s="204"/>
      <c r="K70" s="349" t="s">
        <v>113</v>
      </c>
      <c r="L70" s="349"/>
      <c r="M70" s="350"/>
      <c r="N70" s="57"/>
      <c r="O70" s="349" t="s">
        <v>113</v>
      </c>
      <c r="P70" s="350"/>
      <c r="R70" s="353" t="str">
        <f>QUALITY!B52</f>
        <v>Lookahead</v>
      </c>
      <c r="S70" s="353"/>
      <c r="T70" s="353"/>
      <c r="U70" s="353" t="str">
        <f>QUALITY!C52</f>
        <v>Commissioning – Upcoming</v>
      </c>
      <c r="V70" s="353"/>
      <c r="W70" s="353"/>
      <c r="X70" s="353"/>
      <c r="Y70" s="353"/>
      <c r="Z70" s="353"/>
      <c r="AA70" s="336" t="str">
        <f>QUALITY!D52</f>
        <v>ERV Air Balancing</v>
      </c>
      <c r="AB70" s="337"/>
      <c r="AC70" s="337"/>
      <c r="AD70" s="337"/>
      <c r="AE70" s="337"/>
      <c r="AF70" s="337"/>
      <c r="AG70" s="337"/>
      <c r="AH70" s="337"/>
      <c r="AI70" s="338"/>
      <c r="AJ70" s="441" t="str">
        <f>QUALITY!E52</f>
        <v>DEF Mech</v>
      </c>
      <c r="AK70" s="441"/>
      <c r="AL70" s="441"/>
      <c r="AM70" s="336" t="str">
        <f>QUALITY!F52</f>
        <v>🟡  Scheduled</v>
      </c>
      <c r="AN70" s="338"/>
      <c r="AO70" s="336" t="str">
        <f>QUALITY!G52</f>
        <v>Coordination with MEP team</v>
      </c>
      <c r="AP70" s="337"/>
      <c r="AQ70" s="337"/>
      <c r="AR70" s="337"/>
      <c r="AS70" s="338"/>
      <c r="AT70" s="205" t="str">
        <f>QUALITY!H52</f>
        <v>Dir. of Construction</v>
      </c>
      <c r="AU70" s="353" t="str">
        <f>QUALITY!I52</f>
        <v>Confirm balancing crew</v>
      </c>
      <c r="AV70" s="353"/>
      <c r="AW70" s="125"/>
    </row>
    <row r="71" spans="2:49" ht="17.100000000000001" customHeight="1">
      <c r="B71" s="4"/>
      <c r="C71" s="345" t="str">
        <f>"CLIENT SATISFACTION FROM: " &amp;'SCORECARD CALC'!C34</f>
        <v>CLIENT SATISFACTION FROM: ANONYMOUS</v>
      </c>
      <c r="D71" s="346"/>
      <c r="E71" s="346"/>
      <c r="F71" s="346"/>
      <c r="G71" s="347"/>
      <c r="H71" s="5"/>
      <c r="J71" s="204"/>
      <c r="K71" s="348" t="str">
        <f>QUALITY!D40</f>
        <v>STNY</v>
      </c>
      <c r="L71" s="349"/>
      <c r="M71" s="350"/>
      <c r="N71" s="209"/>
      <c r="O71" s="348" t="str">
        <f>QUALITY!E40</f>
        <v>STNY</v>
      </c>
      <c r="P71" s="350"/>
      <c r="R71" s="353" t="str">
        <f>QUALITY!B53</f>
        <v>Lookback</v>
      </c>
      <c r="S71" s="353"/>
      <c r="T71" s="353"/>
      <c r="U71" s="353" t="str">
        <f>QUALITY!C53</f>
        <v>Inspection – Special</v>
      </c>
      <c r="V71" s="353"/>
      <c r="W71" s="353"/>
      <c r="X71" s="353"/>
      <c r="Y71" s="353"/>
      <c r="Z71" s="353"/>
      <c r="AA71" s="336" t="str">
        <f>QUALITY!D53</f>
        <v>Concrete Cylinder Break Test</v>
      </c>
      <c r="AB71" s="337"/>
      <c r="AC71" s="337"/>
      <c r="AD71" s="337"/>
      <c r="AE71" s="337"/>
      <c r="AF71" s="337"/>
      <c r="AG71" s="337"/>
      <c r="AH71" s="337"/>
      <c r="AI71" s="338"/>
      <c r="AJ71" s="441" t="str">
        <f>QUALITY!E53</f>
        <v>Atlas Eng</v>
      </c>
      <c r="AK71" s="441"/>
      <c r="AL71" s="441"/>
      <c r="AM71" s="336" t="str">
        <f>QUALITY!F53</f>
        <v>🟢  Passed</v>
      </c>
      <c r="AN71" s="338"/>
      <c r="AO71" s="336" t="str">
        <f>QUALITY!G53</f>
        <v>Compressive strength verified</v>
      </c>
      <c r="AP71" s="337"/>
      <c r="AQ71" s="337"/>
      <c r="AR71" s="337"/>
      <c r="AS71" s="338"/>
      <c r="AT71" s="205" t="str">
        <f>QUALITY!H53</f>
        <v>Dir. of Construction</v>
      </c>
      <c r="AU71" s="353" t="str">
        <f>QUALITY!I53</f>
        <v>None</v>
      </c>
      <c r="AV71" s="353"/>
      <c r="AW71" s="125"/>
    </row>
    <row r="72" spans="2:49" ht="17.100000000000001" customHeight="1">
      <c r="B72" s="4"/>
      <c r="C72" s="330">
        <f>'SCORECARD CALC'!C42</f>
        <v>0.6</v>
      </c>
      <c r="D72" s="331"/>
      <c r="E72" s="331"/>
      <c r="F72" s="331"/>
      <c r="G72" s="332"/>
      <c r="H72" s="5"/>
      <c r="J72" s="204"/>
      <c r="K72" s="348" t="str">
        <f>QUALITY!D41</f>
        <v>ABM</v>
      </c>
      <c r="L72" s="349"/>
      <c r="M72" s="350"/>
      <c r="N72" s="209"/>
      <c r="O72" s="348" t="str">
        <f>QUALITY!E41</f>
        <v>ABM</v>
      </c>
      <c r="P72" s="350"/>
      <c r="R72" s="353" t="str">
        <f>QUALITY!B54</f>
        <v>Lookback</v>
      </c>
      <c r="S72" s="353"/>
      <c r="T72" s="353"/>
      <c r="U72" s="353" t="str">
        <f>QUALITY!C54</f>
        <v>Inspection – NCR</v>
      </c>
      <c r="V72" s="353"/>
      <c r="W72" s="353"/>
      <c r="X72" s="353"/>
      <c r="Y72" s="353"/>
      <c r="Z72" s="353"/>
      <c r="AA72" s="336" t="str">
        <f>QUALITY!D54</f>
        <v>Failed weld at base plate</v>
      </c>
      <c r="AB72" s="337"/>
      <c r="AC72" s="337"/>
      <c r="AD72" s="337"/>
      <c r="AE72" s="337"/>
      <c r="AF72" s="337"/>
      <c r="AG72" s="337"/>
      <c r="AH72" s="337"/>
      <c r="AI72" s="338"/>
      <c r="AJ72" s="441" t="str">
        <f>QUALITY!E54</f>
        <v>SteelCo</v>
      </c>
      <c r="AK72" s="441"/>
      <c r="AL72" s="441"/>
      <c r="AM72" s="336" t="str">
        <f>QUALITY!F54</f>
        <v>🔴  NCR</v>
      </c>
      <c r="AN72" s="338"/>
      <c r="AO72" s="336" t="str">
        <f>QUALITY!G54</f>
        <v>Reweld scheduled 6/27</v>
      </c>
      <c r="AP72" s="337"/>
      <c r="AQ72" s="337"/>
      <c r="AR72" s="337"/>
      <c r="AS72" s="338"/>
      <c r="AT72" s="205" t="str">
        <f>QUALITY!H54</f>
        <v>Dir. of Construction</v>
      </c>
      <c r="AU72" s="353" t="str">
        <f>QUALITY!I54</f>
        <v>Reinspection on 6/28</v>
      </c>
      <c r="AV72" s="353"/>
      <c r="AW72" s="125"/>
    </row>
    <row r="73" spans="2:49" ht="17.100000000000001" customHeight="1">
      <c r="B73" s="4"/>
      <c r="C73" s="333"/>
      <c r="D73" s="334"/>
      <c r="E73" s="334"/>
      <c r="F73" s="334"/>
      <c r="G73" s="335"/>
      <c r="H73" s="5"/>
      <c r="J73" s="204"/>
      <c r="K73" s="348" t="str">
        <f>QUALITY!D42</f>
        <v>TRYSLER</v>
      </c>
      <c r="L73" s="349"/>
      <c r="M73" s="350"/>
      <c r="N73" s="209"/>
      <c r="O73" s="348" t="str">
        <f>QUALITY!E42</f>
        <v>TRYSLER</v>
      </c>
      <c r="P73" s="350"/>
      <c r="Q73" s="168"/>
      <c r="R73" s="353" t="str">
        <f>QUALITY!B55</f>
        <v>Lookback</v>
      </c>
      <c r="S73" s="353"/>
      <c r="T73" s="353"/>
      <c r="U73" s="353" t="str">
        <f>QUALITY!C55</f>
        <v>Inspection – NCR</v>
      </c>
      <c r="V73" s="353"/>
      <c r="W73" s="353"/>
      <c r="X73" s="353"/>
      <c r="Y73" s="353"/>
      <c r="Z73" s="353"/>
      <c r="AA73" s="336" t="str">
        <f>QUALITY!D55</f>
        <v>Failed weld at base plate</v>
      </c>
      <c r="AB73" s="337"/>
      <c r="AC73" s="337"/>
      <c r="AD73" s="337"/>
      <c r="AE73" s="337"/>
      <c r="AF73" s="337"/>
      <c r="AG73" s="337"/>
      <c r="AH73" s="337"/>
      <c r="AI73" s="338"/>
      <c r="AJ73" s="441" t="str">
        <f>QUALITY!E55</f>
        <v>SteelCo</v>
      </c>
      <c r="AK73" s="441"/>
      <c r="AL73" s="441"/>
      <c r="AM73" s="336" t="str">
        <f>QUALITY!F55</f>
        <v>🔴  NCR</v>
      </c>
      <c r="AN73" s="338"/>
      <c r="AO73" s="336" t="str">
        <f>QUALITY!G55</f>
        <v>Reweld scheduled 6/28</v>
      </c>
      <c r="AP73" s="337"/>
      <c r="AQ73" s="337"/>
      <c r="AR73" s="337"/>
      <c r="AS73" s="338"/>
      <c r="AT73" s="205" t="str">
        <f>QUALITY!H55</f>
        <v>Dir. of Construction</v>
      </c>
      <c r="AU73" s="353" t="str">
        <f>QUALITY!I55</f>
        <v>Reinspection on 6/29</v>
      </c>
      <c r="AV73" s="353"/>
      <c r="AW73" s="125"/>
    </row>
    <row r="74" spans="2:49" ht="17.100000000000001" customHeight="1">
      <c r="B74" s="4"/>
      <c r="C74" s="43"/>
      <c r="D74" s="43"/>
      <c r="E74" s="43"/>
      <c r="F74" s="43"/>
      <c r="G74" s="43"/>
      <c r="H74" s="5"/>
      <c r="J74" s="204"/>
      <c r="K74" s="348" t="str">
        <f>QUALITY!D43</f>
        <v>TRYSLER</v>
      </c>
      <c r="L74" s="349"/>
      <c r="M74" s="350"/>
      <c r="N74" s="209"/>
      <c r="O74" s="348" t="str">
        <f>QUALITY!E43</f>
        <v>TRYSLER</v>
      </c>
      <c r="P74" s="350"/>
      <c r="Q74" s="168"/>
      <c r="R74" s="353" t="str">
        <f>QUALITY!B56</f>
        <v>Lookback</v>
      </c>
      <c r="S74" s="353"/>
      <c r="T74" s="353"/>
      <c r="U74" s="353" t="str">
        <f>QUALITY!C56</f>
        <v>Inspection – NCR</v>
      </c>
      <c r="V74" s="353"/>
      <c r="W74" s="353"/>
      <c r="X74" s="353"/>
      <c r="Y74" s="353"/>
      <c r="Z74" s="353"/>
      <c r="AA74" s="336" t="str">
        <f>QUALITY!D56</f>
        <v>Failed weld at base plate</v>
      </c>
      <c r="AB74" s="337"/>
      <c r="AC74" s="337"/>
      <c r="AD74" s="337"/>
      <c r="AE74" s="337"/>
      <c r="AF74" s="337"/>
      <c r="AG74" s="337"/>
      <c r="AH74" s="337"/>
      <c r="AI74" s="338"/>
      <c r="AJ74" s="441" t="str">
        <f>QUALITY!E56</f>
        <v>SteelCo</v>
      </c>
      <c r="AK74" s="441"/>
      <c r="AL74" s="441"/>
      <c r="AM74" s="336" t="str">
        <f>QUALITY!F56</f>
        <v>🔴  NCR</v>
      </c>
      <c r="AN74" s="338"/>
      <c r="AO74" s="336" t="str">
        <f>QUALITY!G56</f>
        <v>Reweld scheduled 6/29</v>
      </c>
      <c r="AP74" s="337"/>
      <c r="AQ74" s="337"/>
      <c r="AR74" s="337"/>
      <c r="AS74" s="338"/>
      <c r="AT74" s="205" t="str">
        <f>QUALITY!H56</f>
        <v>Dir. of Construction</v>
      </c>
      <c r="AU74" s="353" t="str">
        <f>QUALITY!I56</f>
        <v>Reinspection on 6/30</v>
      </c>
      <c r="AV74" s="353"/>
      <c r="AW74" s="125"/>
    </row>
    <row r="75" spans="2:49">
      <c r="B75" s="4"/>
      <c r="C75" s="43"/>
      <c r="D75" s="43"/>
      <c r="E75" s="43"/>
      <c r="F75" s="43"/>
      <c r="G75" s="43"/>
      <c r="H75" s="5"/>
      <c r="J75" s="204"/>
      <c r="K75" s="348" t="str">
        <f>QUALITY!D44</f>
        <v>TRYSLER</v>
      </c>
      <c r="L75" s="349"/>
      <c r="M75" s="350"/>
      <c r="N75" s="209"/>
      <c r="O75" s="348" t="str">
        <f>QUALITY!E44</f>
        <v>TRYSLER</v>
      </c>
      <c r="P75" s="350"/>
      <c r="Q75" s="168"/>
      <c r="R75" s="353" t="str">
        <f>QUALITY!B57</f>
        <v>Lookback</v>
      </c>
      <c r="S75" s="353"/>
      <c r="T75" s="353"/>
      <c r="U75" s="353" t="str">
        <f>QUALITY!C57</f>
        <v>Inspection – NCR</v>
      </c>
      <c r="V75" s="353"/>
      <c r="W75" s="353"/>
      <c r="X75" s="353"/>
      <c r="Y75" s="353"/>
      <c r="Z75" s="353"/>
      <c r="AA75" s="336" t="str">
        <f>QUALITY!D57</f>
        <v>Failed weld at base plate</v>
      </c>
      <c r="AB75" s="337"/>
      <c r="AC75" s="337"/>
      <c r="AD75" s="337"/>
      <c r="AE75" s="337"/>
      <c r="AF75" s="337"/>
      <c r="AG75" s="337"/>
      <c r="AH75" s="337"/>
      <c r="AI75" s="338"/>
      <c r="AJ75" s="441" t="str">
        <f>QUALITY!E57</f>
        <v>SteelCo</v>
      </c>
      <c r="AK75" s="441"/>
      <c r="AL75" s="441"/>
      <c r="AM75" s="336" t="str">
        <f>QUALITY!F57</f>
        <v>🔴  NCR</v>
      </c>
      <c r="AN75" s="338"/>
      <c r="AO75" s="336" t="str">
        <f>QUALITY!G57</f>
        <v>Reweld scheduled 6/30</v>
      </c>
      <c r="AP75" s="337"/>
      <c r="AQ75" s="337"/>
      <c r="AR75" s="337"/>
      <c r="AS75" s="338"/>
      <c r="AT75" s="205" t="str">
        <f>QUALITY!H57</f>
        <v>Dir. of Construction</v>
      </c>
      <c r="AU75" s="353" t="str">
        <f>QUALITY!I57</f>
        <v>Reinspection on 6/31</v>
      </c>
      <c r="AV75" s="353"/>
      <c r="AW75" s="125"/>
    </row>
    <row r="76" spans="2:49">
      <c r="B76" s="44"/>
      <c r="C76" s="45"/>
      <c r="D76" s="45"/>
      <c r="E76" s="45"/>
      <c r="F76" s="45"/>
      <c r="G76" s="45"/>
      <c r="H76" s="46"/>
      <c r="J76" s="163"/>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c r="AW76" s="164"/>
    </row>
    <row r="84" spans="46:47">
      <c r="AT84" s="18"/>
    </row>
    <row r="85" spans="46:47">
      <c r="AT85" s="18"/>
    </row>
    <row r="86" spans="46:47">
      <c r="AT86" s="18"/>
    </row>
    <row r="87" spans="46:47">
      <c r="AT87" s="18"/>
    </row>
    <row r="88" spans="46:47">
      <c r="AT88" s="18"/>
    </row>
    <row r="89" spans="46:47">
      <c r="AT89" s="18"/>
    </row>
    <row r="90" spans="46:47">
      <c r="AT90" s="18"/>
    </row>
    <row r="92" spans="46:47">
      <c r="AT92" s="18"/>
      <c r="AU92" s="18"/>
    </row>
    <row r="93" spans="46:47">
      <c r="AT93" s="18"/>
      <c r="AU93" s="18"/>
    </row>
    <row r="94" spans="46:47">
      <c r="AT94" s="18"/>
      <c r="AU94" s="18"/>
    </row>
  </sheetData>
  <sheetProtection algorithmName="SHA-512" hashValue="ZL52D+9yNxR5Lm7w5ZvH8J5ot2hKd9Ha9W0p5szyuj1XgL9dzFPQSPdEiUtZ6Ek02hy1nMp1Fl67oSb8CYdG2Q==" saltValue="wTKd08nA+7VjOQ5qzmA1/Q==" spinCount="100000" sheet="1" formatCells="0" formatColumns="0" formatRows="0"/>
  <mergeCells count="301">
    <mergeCell ref="W49:AD50"/>
    <mergeCell ref="AE49:AG50"/>
    <mergeCell ref="K51:L52"/>
    <mergeCell ref="M51:O52"/>
    <mergeCell ref="P51:T52"/>
    <mergeCell ref="U51:V52"/>
    <mergeCell ref="W51:AD52"/>
    <mergeCell ref="AE51:AG52"/>
    <mergeCell ref="AM57:AN57"/>
    <mergeCell ref="AI58:AL58"/>
    <mergeCell ref="AI59:AN59"/>
    <mergeCell ref="K53:L54"/>
    <mergeCell ref="M53:O54"/>
    <mergeCell ref="P53:T54"/>
    <mergeCell ref="U53:V54"/>
    <mergeCell ref="W53:AD54"/>
    <mergeCell ref="AE53:AG54"/>
    <mergeCell ref="K55:L56"/>
    <mergeCell ref="M55:O56"/>
    <mergeCell ref="P55:T56"/>
    <mergeCell ref="C54:G59"/>
    <mergeCell ref="R14:T14"/>
    <mergeCell ref="K57:L58"/>
    <mergeCell ref="M57:O58"/>
    <mergeCell ref="P57:T58"/>
    <mergeCell ref="R66:T66"/>
    <mergeCell ref="U66:Z66"/>
    <mergeCell ref="AA66:AI66"/>
    <mergeCell ref="AJ66:AL66"/>
    <mergeCell ref="U57:V58"/>
    <mergeCell ref="W57:AD58"/>
    <mergeCell ref="AE57:AG58"/>
    <mergeCell ref="U55:V56"/>
    <mergeCell ref="W55:AD56"/>
    <mergeCell ref="AE55:AG56"/>
    <mergeCell ref="B34:H34"/>
    <mergeCell ref="R64:T64"/>
    <mergeCell ref="U64:Z64"/>
    <mergeCell ref="U65:Z65"/>
    <mergeCell ref="AI57:AL57"/>
    <mergeCell ref="K49:L50"/>
    <mergeCell ref="M49:O50"/>
    <mergeCell ref="P49:T50"/>
    <mergeCell ref="U49:V50"/>
    <mergeCell ref="AU73:AV73"/>
    <mergeCell ref="AU74:AV74"/>
    <mergeCell ref="K67:L67"/>
    <mergeCell ref="K68:L68"/>
    <mergeCell ref="U67:Z67"/>
    <mergeCell ref="U70:Z70"/>
    <mergeCell ref="U71:Z71"/>
    <mergeCell ref="K74:M74"/>
    <mergeCell ref="O74:P74"/>
    <mergeCell ref="R68:T69"/>
    <mergeCell ref="U68:Z69"/>
    <mergeCell ref="AA68:AI69"/>
    <mergeCell ref="AJ68:AL69"/>
    <mergeCell ref="AM68:AN69"/>
    <mergeCell ref="AT68:AT69"/>
    <mergeCell ref="U73:Z73"/>
    <mergeCell ref="U74:Z74"/>
    <mergeCell ref="AM73:AN73"/>
    <mergeCell ref="B7:H7"/>
    <mergeCell ref="AE48:AG48"/>
    <mergeCell ref="W48:AD48"/>
    <mergeCell ref="U48:V48"/>
    <mergeCell ref="P48:T48"/>
    <mergeCell ref="M48:O48"/>
    <mergeCell ref="C9:G13"/>
    <mergeCell ref="C15:G19"/>
    <mergeCell ref="C21:G25"/>
    <mergeCell ref="C27:G31"/>
    <mergeCell ref="C36:G40"/>
    <mergeCell ref="C42:G46"/>
    <mergeCell ref="C48:G52"/>
    <mergeCell ref="L12:L13"/>
    <mergeCell ref="M12:M13"/>
    <mergeCell ref="O12:O13"/>
    <mergeCell ref="P12:P13"/>
    <mergeCell ref="O16:O18"/>
    <mergeCell ref="O21:O22"/>
    <mergeCell ref="O19:O20"/>
    <mergeCell ref="Q8:S9"/>
    <mergeCell ref="K28:S29"/>
    <mergeCell ref="P21:R21"/>
    <mergeCell ref="P16:T16"/>
    <mergeCell ref="AU75:AV75"/>
    <mergeCell ref="AO66:AS66"/>
    <mergeCell ref="AU66:AV66"/>
    <mergeCell ref="AU68:AV69"/>
    <mergeCell ref="AU67:AV67"/>
    <mergeCell ref="AU70:AV70"/>
    <mergeCell ref="K48:L48"/>
    <mergeCell ref="AM74:AN74"/>
    <mergeCell ref="AM75:AN75"/>
    <mergeCell ref="AA74:AI74"/>
    <mergeCell ref="AA75:AI75"/>
    <mergeCell ref="AJ65:AL65"/>
    <mergeCell ref="AJ67:AL67"/>
    <mergeCell ref="AJ70:AL70"/>
    <mergeCell ref="AJ71:AL71"/>
    <mergeCell ref="AJ72:AL72"/>
    <mergeCell ref="AJ73:AL73"/>
    <mergeCell ref="AJ74:AL74"/>
    <mergeCell ref="AJ75:AL75"/>
    <mergeCell ref="R74:T74"/>
    <mergeCell ref="R75:T75"/>
    <mergeCell ref="AM66:AN66"/>
    <mergeCell ref="AU71:AV71"/>
    <mergeCell ref="AU72:AV72"/>
    <mergeCell ref="AU64:AV64"/>
    <mergeCell ref="AO64:AS64"/>
    <mergeCell ref="AJ64:AL64"/>
    <mergeCell ref="AA64:AI64"/>
    <mergeCell ref="AA65:AI65"/>
    <mergeCell ref="AA67:AI67"/>
    <mergeCell ref="AA70:AI70"/>
    <mergeCell ref="AA71:AI71"/>
    <mergeCell ref="AA72:AI72"/>
    <mergeCell ref="AU65:AV65"/>
    <mergeCell ref="AM70:AN70"/>
    <mergeCell ref="AM71:AN71"/>
    <mergeCell ref="AM72:AN72"/>
    <mergeCell ref="K66:M66"/>
    <mergeCell ref="K71:M71"/>
    <mergeCell ref="K70:M70"/>
    <mergeCell ref="K72:M72"/>
    <mergeCell ref="K73:M73"/>
    <mergeCell ref="U72:Z72"/>
    <mergeCell ref="U75:Z75"/>
    <mergeCell ref="R65:T65"/>
    <mergeCell ref="R67:T67"/>
    <mergeCell ref="R70:T70"/>
    <mergeCell ref="R71:T71"/>
    <mergeCell ref="R72:T72"/>
    <mergeCell ref="O70:P70"/>
    <mergeCell ref="O71:P71"/>
    <mergeCell ref="O72:P72"/>
    <mergeCell ref="O73:P73"/>
    <mergeCell ref="O66:P66"/>
    <mergeCell ref="AR9:AS9"/>
    <mergeCell ref="AR10:AS10"/>
    <mergeCell ref="AR11:AS11"/>
    <mergeCell ref="AR12:AS12"/>
    <mergeCell ref="AR13:AS13"/>
    <mergeCell ref="AR14:AS14"/>
    <mergeCell ref="AR15:AS15"/>
    <mergeCell ref="AR16:AS16"/>
    <mergeCell ref="AR17:AS17"/>
    <mergeCell ref="AR18:AS18"/>
    <mergeCell ref="AR19:AS19"/>
    <mergeCell ref="AT28:AU28"/>
    <mergeCell ref="AR32:AS32"/>
    <mergeCell ref="AR33:AS33"/>
    <mergeCell ref="AR34:AS34"/>
    <mergeCell ref="AI49:AL49"/>
    <mergeCell ref="AI50:AN50"/>
    <mergeCell ref="AI51:AL51"/>
    <mergeCell ref="AT42:AU42"/>
    <mergeCell ref="AJ36:AL37"/>
    <mergeCell ref="AM36:AN37"/>
    <mergeCell ref="AJ38:AL39"/>
    <mergeCell ref="AM38:AN39"/>
    <mergeCell ref="AJ40:AL41"/>
    <mergeCell ref="AM40:AN41"/>
    <mergeCell ref="AQ44:AW44"/>
    <mergeCell ref="AQ45:AR45"/>
    <mergeCell ref="AV36:AW36"/>
    <mergeCell ref="AV37:AW37"/>
    <mergeCell ref="AV38:AW38"/>
    <mergeCell ref="AT21:AU21"/>
    <mergeCell ref="AT22:AU22"/>
    <mergeCell ref="AT32:AV32"/>
    <mergeCell ref="AS31:AU31"/>
    <mergeCell ref="AS30:AU30"/>
    <mergeCell ref="AI54:AL54"/>
    <mergeCell ref="AI52:AL52"/>
    <mergeCell ref="AI53:AN53"/>
    <mergeCell ref="AI55:AL55"/>
    <mergeCell ref="AI56:AN56"/>
    <mergeCell ref="B2:L4"/>
    <mergeCell ref="AM51:AN51"/>
    <mergeCell ref="AM48:AN48"/>
    <mergeCell ref="AM54:AN54"/>
    <mergeCell ref="AI48:AL48"/>
    <mergeCell ref="K36:S37"/>
    <mergeCell ref="K38:S39"/>
    <mergeCell ref="K40:S41"/>
    <mergeCell ref="T28:U29"/>
    <mergeCell ref="V28:AI29"/>
    <mergeCell ref="AJ28:AL29"/>
    <mergeCell ref="AM28:AN29"/>
    <mergeCell ref="T30:U31"/>
    <mergeCell ref="AJ30:AL31"/>
    <mergeCell ref="AM30:AN31"/>
    <mergeCell ref="AJ32:AL33"/>
    <mergeCell ref="AM32:AN33"/>
    <mergeCell ref="V30:AI31"/>
    <mergeCell ref="V32:AI33"/>
    <mergeCell ref="V34:AI35"/>
    <mergeCell ref="V36:AI37"/>
    <mergeCell ref="V38:AI39"/>
    <mergeCell ref="V40:AI41"/>
    <mergeCell ref="V42:AI43"/>
    <mergeCell ref="K32:S33"/>
    <mergeCell ref="K34:S35"/>
    <mergeCell ref="AT33:AV33"/>
    <mergeCell ref="AT34:AV34"/>
    <mergeCell ref="K42:S43"/>
    <mergeCell ref="T32:U33"/>
    <mergeCell ref="T34:U35"/>
    <mergeCell ref="T36:U37"/>
    <mergeCell ref="T38:U39"/>
    <mergeCell ref="T40:U41"/>
    <mergeCell ref="T42:U43"/>
    <mergeCell ref="AJ34:AL35"/>
    <mergeCell ref="AM34:AN35"/>
    <mergeCell ref="P22:R22"/>
    <mergeCell ref="P17:T17"/>
    <mergeCell ref="J7:AO7"/>
    <mergeCell ref="J25:AO25"/>
    <mergeCell ref="J46:AO46"/>
    <mergeCell ref="L19:M19"/>
    <mergeCell ref="L18:M18"/>
    <mergeCell ref="L20:M20"/>
    <mergeCell ref="Q11:S11"/>
    <mergeCell ref="AL10:AM11"/>
    <mergeCell ref="V12:V13"/>
    <mergeCell ref="P15:T15"/>
    <mergeCell ref="AB12:AF13"/>
    <mergeCell ref="AL12:AM13"/>
    <mergeCell ref="AG12:AK13"/>
    <mergeCell ref="W14:AA15"/>
    <mergeCell ref="W16:AA17"/>
    <mergeCell ref="W18:AA19"/>
    <mergeCell ref="W20:AA21"/>
    <mergeCell ref="AB14:AF15"/>
    <mergeCell ref="AB16:AF17"/>
    <mergeCell ref="AB18:AF19"/>
    <mergeCell ref="AB20:AF21"/>
    <mergeCell ref="AG14:AK15"/>
    <mergeCell ref="B62:H62"/>
    <mergeCell ref="AT23:AU23"/>
    <mergeCell ref="AT24:AU24"/>
    <mergeCell ref="AT26:AU26"/>
    <mergeCell ref="AQ7:AW7"/>
    <mergeCell ref="AT27:AU27"/>
    <mergeCell ref="AT25:AU25"/>
    <mergeCell ref="AM27:AN27"/>
    <mergeCell ref="AJ27:AL27"/>
    <mergeCell ref="V27:AI27"/>
    <mergeCell ref="AJ42:AL43"/>
    <mergeCell ref="AM42:AN43"/>
    <mergeCell ref="V14:V15"/>
    <mergeCell ref="P18:R18"/>
    <mergeCell ref="P19:R19"/>
    <mergeCell ref="P20:R20"/>
    <mergeCell ref="K27:S27"/>
    <mergeCell ref="L21:M21"/>
    <mergeCell ref="L22:M22"/>
    <mergeCell ref="K30:S31"/>
    <mergeCell ref="V10:V11"/>
    <mergeCell ref="W10:AA11"/>
    <mergeCell ref="AB10:AF11"/>
    <mergeCell ref="AG10:AK11"/>
    <mergeCell ref="W12:AA13"/>
    <mergeCell ref="AG16:AK17"/>
    <mergeCell ref="AG18:AK19"/>
    <mergeCell ref="AG20:AK21"/>
    <mergeCell ref="AL14:AM15"/>
    <mergeCell ref="AL16:AM17"/>
    <mergeCell ref="AL18:AM19"/>
    <mergeCell ref="AL20:AM21"/>
    <mergeCell ref="T27:U27"/>
    <mergeCell ref="V16:V17"/>
    <mergeCell ref="V18:V19"/>
    <mergeCell ref="V20:V21"/>
    <mergeCell ref="C64:G64"/>
    <mergeCell ref="C68:G68"/>
    <mergeCell ref="C65:G67"/>
    <mergeCell ref="AO75:AS75"/>
    <mergeCell ref="AO74:AS74"/>
    <mergeCell ref="AO73:AS73"/>
    <mergeCell ref="AO72:AS72"/>
    <mergeCell ref="AO71:AS71"/>
    <mergeCell ref="AO70:AS70"/>
    <mergeCell ref="AO67:AS67"/>
    <mergeCell ref="AO65:AS65"/>
    <mergeCell ref="AO68:AS68"/>
    <mergeCell ref="AO69:AS69"/>
    <mergeCell ref="C71:G71"/>
    <mergeCell ref="C72:G73"/>
    <mergeCell ref="K75:M75"/>
    <mergeCell ref="O75:P75"/>
    <mergeCell ref="K64:L64"/>
    <mergeCell ref="K65:L65"/>
    <mergeCell ref="R73:T73"/>
    <mergeCell ref="AA73:AI73"/>
    <mergeCell ref="AM64:AN64"/>
    <mergeCell ref="AM65:AN65"/>
    <mergeCell ref="AM67:AN67"/>
  </mergeCells>
  <phoneticPr fontId="20" type="noConversion"/>
  <conditionalFormatting sqref="C65:G67">
    <cfRule type="cellIs" dxfId="93" priority="4" stopIfTrue="1" operator="between">
      <formula>0.5</formula>
      <formula>0.75</formula>
    </cfRule>
    <cfRule type="cellIs" dxfId="92" priority="5" operator="between">
      <formula>0</formula>
      <formula>0.5</formula>
    </cfRule>
    <cfRule type="cellIs" dxfId="91" priority="6" operator="between">
      <formula>0.75</formula>
      <formula>1</formula>
    </cfRule>
  </conditionalFormatting>
  <conditionalFormatting sqref="C72:G73">
    <cfRule type="cellIs" dxfId="90" priority="1" stopIfTrue="1" operator="between">
      <formula>0.5</formula>
      <formula>0.75</formula>
    </cfRule>
    <cfRule type="cellIs" dxfId="89" priority="2" operator="between">
      <formula>0</formula>
      <formula>0.5</formula>
    </cfRule>
    <cfRule type="cellIs" dxfId="88" priority="3" operator="between">
      <formula>0.75</formula>
      <formula>1</formula>
    </cfRule>
  </conditionalFormatting>
  <pageMargins left="0.7" right="0.7" top="0.75" bottom="0.75" header="0.3" footer="0.3"/>
  <pageSetup paperSize="3" scale="55" orientation="landscape" r:id="rId1"/>
  <headerFooter>
    <oddHeader>&amp;C&amp;"Roboto,Bold"&amp;28 11 Essex Street</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828C-4EDE-E44D-AEA3-A5D30D9CE372}">
  <sheetPr>
    <tabColor rgb="FF448E02"/>
    <pageSetUpPr fitToPage="1"/>
  </sheetPr>
  <dimension ref="B1:C12"/>
  <sheetViews>
    <sheetView zoomScaleNormal="100" zoomScaleSheetLayoutView="130" workbookViewId="0">
      <selection activeCell="C19" sqref="C19"/>
    </sheetView>
  </sheetViews>
  <sheetFormatPr defaultColWidth="10.5" defaultRowHeight="15.95"/>
  <cols>
    <col min="2" max="2" width="11" customWidth="1"/>
    <col min="3" max="3" width="131.125" customWidth="1"/>
  </cols>
  <sheetData>
    <row r="1" spans="2:3" ht="18.95">
      <c r="B1" s="493" t="s">
        <v>51</v>
      </c>
      <c r="C1" s="493"/>
    </row>
    <row r="2" spans="2:3">
      <c r="B2" t="s">
        <v>114</v>
      </c>
      <c r="C2" t="s">
        <v>115</v>
      </c>
    </row>
    <row r="3" spans="2:3" ht="32.1" customHeight="1">
      <c r="B3" s="14" t="s">
        <v>116</v>
      </c>
      <c r="C3" s="227" t="s">
        <v>117</v>
      </c>
    </row>
    <row r="4" spans="2:3" ht="32.1" customHeight="1">
      <c r="B4" s="14" t="s">
        <v>118</v>
      </c>
      <c r="C4" s="227" t="s">
        <v>119</v>
      </c>
    </row>
    <row r="5" spans="2:3" ht="32.1" customHeight="1">
      <c r="B5" s="14" t="s">
        <v>120</v>
      </c>
      <c r="C5" s="227" t="s">
        <v>121</v>
      </c>
    </row>
    <row r="6" spans="2:3" ht="32.1" customHeight="1">
      <c r="B6" s="14" t="s">
        <v>122</v>
      </c>
      <c r="C6" s="227" t="s">
        <v>123</v>
      </c>
    </row>
    <row r="7" spans="2:3" ht="18.95">
      <c r="B7" s="493" t="s">
        <v>86</v>
      </c>
      <c r="C7" s="493"/>
    </row>
    <row r="8" spans="2:3">
      <c r="B8" t="s">
        <v>114</v>
      </c>
      <c r="C8" t="s">
        <v>115</v>
      </c>
    </row>
    <row r="9" spans="2:3" ht="32.1" customHeight="1">
      <c r="B9" s="14" t="s">
        <v>124</v>
      </c>
      <c r="C9" s="227" t="s">
        <v>117</v>
      </c>
    </row>
    <row r="10" spans="2:3" ht="32.1" customHeight="1">
      <c r="B10" s="14" t="s">
        <v>125</v>
      </c>
      <c r="C10" s="227" t="s">
        <v>119</v>
      </c>
    </row>
    <row r="11" spans="2:3" ht="32.1" customHeight="1">
      <c r="B11" s="14" t="s">
        <v>126</v>
      </c>
      <c r="C11" s="227" t="s">
        <v>121</v>
      </c>
    </row>
    <row r="12" spans="2:3" ht="32.1" customHeight="1">
      <c r="B12" s="14" t="s">
        <v>127</v>
      </c>
      <c r="C12" s="227" t="s">
        <v>123</v>
      </c>
    </row>
  </sheetData>
  <mergeCells count="2">
    <mergeCell ref="B7:C7"/>
    <mergeCell ref="B1:C1"/>
  </mergeCells>
  <phoneticPr fontId="20" type="noConversion"/>
  <pageMargins left="0.7" right="0.7" top="0.75" bottom="0.75" header="0.3" footer="0.3"/>
  <pageSetup scale="79" fitToHeight="0" orientation="landscape" r:id="rId1"/>
  <colBreaks count="1" manualBreakCount="1">
    <brk id="2" max="8" man="1"/>
  </colBreak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56EE-0AE5-B24B-A92E-F3FC3C061D7A}">
  <sheetPr>
    <tabColor rgb="FFDC2916"/>
    <pageSetUpPr fitToPage="1"/>
  </sheetPr>
  <dimension ref="B1:P43"/>
  <sheetViews>
    <sheetView zoomScaleNormal="100" workbookViewId="0">
      <selection activeCell="C14" sqref="C14"/>
    </sheetView>
  </sheetViews>
  <sheetFormatPr defaultColWidth="10.5" defaultRowHeight="15.95" outlineLevelRow="1"/>
  <cols>
    <col min="1" max="1" width="5.5" style="47" customWidth="1"/>
    <col min="2" max="2" width="3.375" style="47" customWidth="1"/>
    <col min="3" max="3" width="31.5" style="47" customWidth="1"/>
    <col min="4" max="4" width="17.625" style="47" customWidth="1"/>
    <col min="5" max="13" width="17.5" style="47" customWidth="1"/>
    <col min="14" max="14" width="4.5" style="47" customWidth="1"/>
    <col min="15" max="15" width="3.625" style="47" customWidth="1"/>
    <col min="16" max="16" width="100.875" style="47" customWidth="1"/>
    <col min="17" max="16384" width="10.5" style="47"/>
  </cols>
  <sheetData>
    <row r="1" spans="2:16" ht="17.100000000000001" thickBot="1"/>
    <row r="2" spans="2:16">
      <c r="B2" s="54"/>
      <c r="C2" s="55"/>
      <c r="D2" s="55"/>
      <c r="E2" s="55"/>
      <c r="F2" s="55"/>
      <c r="G2" s="55"/>
      <c r="H2" s="567"/>
      <c r="I2" s="567"/>
      <c r="J2" s="55"/>
      <c r="K2" s="498"/>
      <c r="L2" s="498"/>
      <c r="M2" s="498"/>
      <c r="N2" s="98"/>
    </row>
    <row r="3" spans="2:16">
      <c r="B3" s="56"/>
      <c r="C3" s="48" t="s">
        <v>128</v>
      </c>
      <c r="D3" s="47" t="s">
        <v>129</v>
      </c>
      <c r="E3" s="47" t="s">
        <v>130</v>
      </c>
      <c r="F3" s="47" t="s">
        <v>131</v>
      </c>
      <c r="G3" s="47" t="s">
        <v>132</v>
      </c>
      <c r="H3" s="47" t="s">
        <v>133</v>
      </c>
      <c r="I3" s="47" t="s">
        <v>134</v>
      </c>
      <c r="J3" s="47" t="s">
        <v>135</v>
      </c>
      <c r="K3" s="47" t="s">
        <v>136</v>
      </c>
      <c r="L3" s="47" t="s">
        <v>137</v>
      </c>
      <c r="M3" s="47" t="s">
        <v>138</v>
      </c>
      <c r="N3" s="99"/>
      <c r="P3" s="107" t="s">
        <v>139</v>
      </c>
    </row>
    <row r="4" spans="2:16" ht="63" customHeight="1">
      <c r="B4" s="56"/>
      <c r="C4" s="258" t="s">
        <v>140</v>
      </c>
      <c r="D4" s="259">
        <f>+MIN(D5:D14)</f>
        <v>45666</v>
      </c>
      <c r="E4" s="259">
        <f>+MAX(E5:E14)</f>
        <v>46149</v>
      </c>
      <c r="F4" s="259">
        <f>+MIN(F5:F14)</f>
        <v>45665</v>
      </c>
      <c r="G4" s="259">
        <f>+MAX(G5:G14)</f>
        <v>46198</v>
      </c>
      <c r="H4" s="259">
        <f>+MIN(H5:H14)</f>
        <v>45665</v>
      </c>
      <c r="I4" s="259">
        <f>+MAX(I5:I14)</f>
        <v>46198</v>
      </c>
      <c r="J4" s="259">
        <f>+MIN(J5:J14)</f>
        <v>45665</v>
      </c>
      <c r="K4" s="259">
        <f>+MAX(K5:K14)</f>
        <v>45740</v>
      </c>
      <c r="L4" s="260"/>
      <c r="M4" s="260"/>
      <c r="N4" s="221"/>
      <c r="P4" s="94" t="s">
        <v>141</v>
      </c>
    </row>
    <row r="5" spans="2:16" ht="15.95" customHeight="1" outlineLevel="1">
      <c r="B5" s="56"/>
      <c r="C5" s="101" t="s">
        <v>142</v>
      </c>
      <c r="D5" s="118">
        <v>45666</v>
      </c>
      <c r="E5" s="118">
        <v>45672</v>
      </c>
      <c r="F5" s="118">
        <v>45665</v>
      </c>
      <c r="G5" s="118">
        <v>45665</v>
      </c>
      <c r="H5" s="118">
        <v>45665</v>
      </c>
      <c r="I5" s="118">
        <v>45665</v>
      </c>
      <c r="J5" s="118">
        <v>45665</v>
      </c>
      <c r="K5" s="118">
        <v>45665</v>
      </c>
      <c r="L5" s="102">
        <f>IF(Table5[[#This Row],[ACTUAL START]]="NA","",Table5[[#This Row],[ACTUAL START]]-Table5[[#This Row],[BASELINE START]])</f>
        <v>0</v>
      </c>
      <c r="M5" s="102">
        <f>IF(Table5[[#This Row],[CURRENT FINISH]]="NA","",Table5[[#This Row],[CURRENT FINISH]]-Table5[[#This Row],[BASELINE FINISH]])</f>
        <v>0</v>
      </c>
      <c r="N5" s="222"/>
    </row>
    <row r="6" spans="2:16" outlineLevel="1">
      <c r="B6" s="56"/>
      <c r="C6" s="101" t="s">
        <v>143</v>
      </c>
      <c r="D6" s="118">
        <v>45666</v>
      </c>
      <c r="E6" s="118">
        <v>45694</v>
      </c>
      <c r="F6" s="118">
        <v>45699</v>
      </c>
      <c r="G6" s="118">
        <v>45699</v>
      </c>
      <c r="H6" s="118">
        <v>45728</v>
      </c>
      <c r="I6" s="118">
        <v>45728</v>
      </c>
      <c r="J6" s="118">
        <v>45728</v>
      </c>
      <c r="K6" s="118">
        <v>45728</v>
      </c>
      <c r="L6" s="102">
        <f>IF(Table5[[#This Row],[ACTUAL START]]="NA","",Table5[[#This Row],[ACTUAL START]]-Table5[[#This Row],[BASELINE START]])</f>
        <v>29</v>
      </c>
      <c r="M6" s="102">
        <f>IF(Table5[[#This Row],[CURRENT FINISH]]="NA","",Table5[[#This Row],[CURRENT FINISH]]-Table5[[#This Row],[BASELINE FINISH]])</f>
        <v>29</v>
      </c>
      <c r="N6" s="222"/>
    </row>
    <row r="7" spans="2:16" outlineLevel="1">
      <c r="B7" s="56"/>
      <c r="C7" s="101" t="s">
        <v>144</v>
      </c>
      <c r="D7" s="118">
        <v>45695</v>
      </c>
      <c r="E7" s="118">
        <v>45701</v>
      </c>
      <c r="F7" s="118">
        <v>45707</v>
      </c>
      <c r="G7" s="118">
        <v>45707</v>
      </c>
      <c r="H7" s="118">
        <v>45740</v>
      </c>
      <c r="I7" s="118">
        <v>45740</v>
      </c>
      <c r="J7" s="118">
        <v>45740</v>
      </c>
      <c r="K7" s="118">
        <v>45740</v>
      </c>
      <c r="L7" s="102">
        <f>IF(Table5[[#This Row],[ACTUAL START]]="NA","",Table5[[#This Row],[ACTUAL START]]-Table5[[#This Row],[BASELINE START]])</f>
        <v>33</v>
      </c>
      <c r="M7" s="102">
        <f>IF(Table5[[#This Row],[CURRENT FINISH]]="NA","",Table5[[#This Row],[CURRENT FINISH]]-Table5[[#This Row],[BASELINE FINISH]])</f>
        <v>33</v>
      </c>
      <c r="N7" s="222"/>
    </row>
    <row r="8" spans="2:16" outlineLevel="1">
      <c r="B8" s="56"/>
      <c r="C8" s="101" t="s">
        <v>145</v>
      </c>
      <c r="D8" s="118">
        <v>45695</v>
      </c>
      <c r="E8" s="118">
        <v>45701</v>
      </c>
      <c r="F8" s="118">
        <v>45707</v>
      </c>
      <c r="G8" s="118">
        <v>45707</v>
      </c>
      <c r="H8" s="118">
        <v>45740</v>
      </c>
      <c r="I8" s="118">
        <v>45740</v>
      </c>
      <c r="J8" s="118">
        <v>45707</v>
      </c>
      <c r="K8" s="118">
        <v>45707</v>
      </c>
      <c r="L8" s="102">
        <f>IF(Table5[[#This Row],[ACTUAL START]]="NA","",Table5[[#This Row],[ACTUAL START]]-Table5[[#This Row],[BASELINE START]])</f>
        <v>0</v>
      </c>
      <c r="M8" s="102">
        <f>IF(Table5[[#This Row],[CURRENT FINISH]]="NA","",Table5[[#This Row],[CURRENT FINISH]]-Table5[[#This Row],[BASELINE FINISH]])</f>
        <v>33</v>
      </c>
      <c r="N8" s="222"/>
    </row>
    <row r="9" spans="2:16" outlineLevel="1">
      <c r="B9" s="56"/>
      <c r="C9" s="101" t="s">
        <v>146</v>
      </c>
      <c r="D9" s="118">
        <v>45792</v>
      </c>
      <c r="E9" s="118">
        <v>45792</v>
      </c>
      <c r="F9" s="118">
        <v>45758</v>
      </c>
      <c r="G9" s="118">
        <v>45758</v>
      </c>
      <c r="H9" s="118">
        <v>45824</v>
      </c>
      <c r="I9" s="118">
        <v>45828</v>
      </c>
      <c r="J9" s="118" t="s">
        <v>147</v>
      </c>
      <c r="K9" s="118" t="s">
        <v>147</v>
      </c>
      <c r="L9" s="102" t="str">
        <f>IF(Table5[[#This Row],[ACTUAL START]]="NA","",Table5[[#This Row],[ACTUAL START]]-Table5[[#This Row],[BASELINE START]])</f>
        <v/>
      </c>
      <c r="M9" s="102">
        <f>IF(Table5[[#This Row],[CURRENT FINISH]]="NA","",Table5[[#This Row],[CURRENT FINISH]]-Table5[[#This Row],[BASELINE FINISH]])</f>
        <v>70</v>
      </c>
      <c r="N9" s="222"/>
    </row>
    <row r="10" spans="2:16" outlineLevel="1">
      <c r="B10" s="56"/>
      <c r="C10" s="101" t="s">
        <v>148</v>
      </c>
      <c r="D10" s="118" t="s">
        <v>147</v>
      </c>
      <c r="E10" s="118" t="s">
        <v>147</v>
      </c>
      <c r="F10" s="118">
        <v>45860</v>
      </c>
      <c r="G10" s="118">
        <v>45860</v>
      </c>
      <c r="H10" s="118">
        <v>45919</v>
      </c>
      <c r="I10" s="118">
        <v>45919</v>
      </c>
      <c r="J10" s="118" t="s">
        <v>147</v>
      </c>
      <c r="K10" s="118" t="s">
        <v>147</v>
      </c>
      <c r="L10" s="102" t="str">
        <f>IF(Table5[[#This Row],[ACTUAL START]]="NA","",Table5[[#This Row],[ACTUAL START]]-Table5[[#This Row],[BASELINE START]])</f>
        <v/>
      </c>
      <c r="M10" s="102">
        <f>IF(Table5[[#This Row],[CURRENT FINISH]]="NA","",Table5[[#This Row],[CURRENT FINISH]]-Table5[[#This Row],[BASELINE FINISH]])</f>
        <v>59</v>
      </c>
      <c r="N10" s="222"/>
    </row>
    <row r="11" spans="2:16" outlineLevel="1">
      <c r="B11" s="56"/>
      <c r="C11" s="101" t="s">
        <v>149</v>
      </c>
      <c r="D11" s="118">
        <v>45894</v>
      </c>
      <c r="E11" s="118">
        <v>45894</v>
      </c>
      <c r="F11" s="118">
        <v>45938</v>
      </c>
      <c r="G11" s="118">
        <v>45938</v>
      </c>
      <c r="H11" s="118">
        <v>46020</v>
      </c>
      <c r="I11" s="118">
        <v>46020</v>
      </c>
      <c r="J11" s="118" t="s">
        <v>147</v>
      </c>
      <c r="K11" s="118" t="s">
        <v>147</v>
      </c>
      <c r="L11" s="102" t="str">
        <f>IF(Table5[[#This Row],[ACTUAL START]]="NA","",Table5[[#This Row],[ACTUAL START]]-Table5[[#This Row],[BASELINE START]])</f>
        <v/>
      </c>
      <c r="M11" s="102">
        <f>IF(Table5[[#This Row],[CURRENT FINISH]]="NA","",Table5[[#This Row],[CURRENT FINISH]]-Table5[[#This Row],[BASELINE FINISH]])</f>
        <v>82</v>
      </c>
      <c r="N11" s="222"/>
    </row>
    <row r="12" spans="2:16" outlineLevel="1">
      <c r="B12" s="56"/>
      <c r="C12" s="101" t="s">
        <v>150</v>
      </c>
      <c r="D12" s="118">
        <v>46156</v>
      </c>
      <c r="E12" s="118">
        <v>46149</v>
      </c>
      <c r="F12" s="118">
        <v>46154</v>
      </c>
      <c r="G12" s="118">
        <v>46154</v>
      </c>
      <c r="H12" s="118">
        <v>46020</v>
      </c>
      <c r="I12" s="118">
        <v>46020</v>
      </c>
      <c r="J12" s="118" t="s">
        <v>147</v>
      </c>
      <c r="K12" s="118" t="s">
        <v>147</v>
      </c>
      <c r="L12" s="102" t="str">
        <f>IF(Table5[[#This Row],[ACTUAL START]]="NA","",Table5[[#This Row],[ACTUAL START]]-Table5[[#This Row],[BASELINE START]])</f>
        <v/>
      </c>
      <c r="M12" s="102">
        <f>IF(Table5[[#This Row],[CURRENT FINISH]]="NA","",Table5[[#This Row],[CURRENT FINISH]]-Table5[[#This Row],[BASELINE FINISH]])</f>
        <v>-134</v>
      </c>
      <c r="N12" s="222"/>
    </row>
    <row r="13" spans="2:16" outlineLevel="1">
      <c r="B13" s="56"/>
      <c r="C13" s="101" t="s">
        <v>151</v>
      </c>
      <c r="D13" s="118">
        <v>46184</v>
      </c>
      <c r="E13" s="118">
        <v>46149</v>
      </c>
      <c r="F13" s="118">
        <v>46198</v>
      </c>
      <c r="G13" s="118">
        <v>46198</v>
      </c>
      <c r="H13" s="118">
        <v>46142</v>
      </c>
      <c r="I13" s="118">
        <v>46142</v>
      </c>
      <c r="J13" s="118" t="s">
        <v>147</v>
      </c>
      <c r="K13" s="118" t="s">
        <v>147</v>
      </c>
      <c r="L13" s="102" t="str">
        <f>IF(Table5[[#This Row],[ACTUAL START]]="NA","",Table5[[#This Row],[ACTUAL START]]-Table5[[#This Row],[BASELINE START]])</f>
        <v/>
      </c>
      <c r="M13" s="102">
        <f>IF(Table5[[#This Row],[CURRENT FINISH]]="NA","",Table5[[#This Row],[CURRENT FINISH]]-Table5[[#This Row],[BASELINE FINISH]])</f>
        <v>-56</v>
      </c>
      <c r="N13" s="222"/>
    </row>
    <row r="14" spans="2:16" s="48" customFormat="1" ht="63" customHeight="1" outlineLevel="1">
      <c r="B14" s="223"/>
      <c r="C14" s="226" t="s">
        <v>152</v>
      </c>
      <c r="D14" s="119">
        <v>45666</v>
      </c>
      <c r="E14" s="119">
        <v>46149</v>
      </c>
      <c r="F14" s="119">
        <v>45666</v>
      </c>
      <c r="G14" s="119">
        <v>46198</v>
      </c>
      <c r="H14" s="119">
        <v>45666</v>
      </c>
      <c r="I14" s="119">
        <v>46198</v>
      </c>
      <c r="J14" s="119" t="s">
        <v>147</v>
      </c>
      <c r="K14" s="119" t="s">
        <v>147</v>
      </c>
      <c r="L14" s="103" t="str">
        <f>IF(Table5[[#This Row],[ACTUAL START]]="NA","",Table5[[#This Row],[ACTUAL START]]-Table5[[#This Row],[BASELINE START]])</f>
        <v/>
      </c>
      <c r="M14" s="102">
        <f>IF(Table5[[#This Row],[CURRENT FINISH]]="NA","",Table5[[#This Row],[CURRENT FINISH]]-Table5[[#This Row],[BASELINE FINISH]])</f>
        <v>0</v>
      </c>
      <c r="N14" s="222"/>
      <c r="O14" s="47"/>
    </row>
    <row r="15" spans="2:16">
      <c r="B15" s="56"/>
      <c r="N15" s="99"/>
    </row>
    <row r="16" spans="2:16">
      <c r="B16" s="56"/>
      <c r="E16" s="500" t="s">
        <v>153</v>
      </c>
      <c r="F16" s="500"/>
      <c r="G16" s="112" t="s">
        <v>154</v>
      </c>
      <c r="N16" s="99"/>
    </row>
    <row r="17" spans="2:14">
      <c r="B17" s="56"/>
      <c r="E17" s="500" t="s">
        <v>155</v>
      </c>
      <c r="F17" s="500"/>
      <c r="G17" s="112" t="s">
        <v>156</v>
      </c>
      <c r="N17" s="99"/>
    </row>
    <row r="18" spans="2:14">
      <c r="B18" s="56"/>
      <c r="N18" s="99"/>
    </row>
    <row r="19" spans="2:14" ht="17.100000000000001" thickBot="1">
      <c r="B19" s="56"/>
      <c r="N19" s="99"/>
    </row>
    <row r="20" spans="2:14">
      <c r="B20" s="56"/>
      <c r="C20" s="54" t="s">
        <v>157</v>
      </c>
      <c r="D20" s="49"/>
      <c r="E20" s="252">
        <f>+E14</f>
        <v>46149</v>
      </c>
      <c r="F20" s="49"/>
      <c r="G20" s="252">
        <f>+G14</f>
        <v>46198</v>
      </c>
      <c r="H20" s="49"/>
      <c r="I20" s="252">
        <f>+I14</f>
        <v>46198</v>
      </c>
      <c r="J20" s="49"/>
      <c r="K20" s="253" t="str">
        <f>+K14</f>
        <v>NA</v>
      </c>
      <c r="N20" s="99"/>
    </row>
    <row r="21" spans="2:14" s="48" customFormat="1" ht="32.1" customHeight="1">
      <c r="B21" s="100"/>
      <c r="C21" s="224" t="s">
        <v>158</v>
      </c>
      <c r="D21" s="225"/>
      <c r="E21" s="96">
        <v>46149</v>
      </c>
      <c r="F21" s="225"/>
      <c r="G21" s="96">
        <v>46198</v>
      </c>
      <c r="H21" s="225"/>
      <c r="I21" s="96">
        <v>46198</v>
      </c>
      <c r="J21" s="225"/>
      <c r="K21" s="97"/>
      <c r="L21" s="494" t="s">
        <v>159</v>
      </c>
      <c r="M21" s="495"/>
      <c r="N21" s="496"/>
    </row>
    <row r="22" spans="2:14" ht="17.100000000000001" thickBot="1">
      <c r="B22" s="56"/>
      <c r="C22" s="93" t="s">
        <v>160</v>
      </c>
      <c r="D22" s="95"/>
      <c r="E22" s="51">
        <f>+E20-E21</f>
        <v>0</v>
      </c>
      <c r="F22" s="95"/>
      <c r="G22" s="51">
        <f>+G20-G21</f>
        <v>0</v>
      </c>
      <c r="H22" s="95"/>
      <c r="I22" s="51">
        <f>+I20-I21</f>
        <v>0</v>
      </c>
      <c r="J22" s="95"/>
      <c r="K22" s="52" t="str">
        <f>+IF(K20="NA","TBD",K20-K21)</f>
        <v>TBD</v>
      </c>
      <c r="N22" s="99"/>
    </row>
    <row r="23" spans="2:14">
      <c r="B23" s="56"/>
      <c r="C23" s="109"/>
      <c r="E23" s="102"/>
      <c r="G23" s="102"/>
      <c r="I23" s="102"/>
      <c r="K23" s="102"/>
      <c r="N23" s="99"/>
    </row>
    <row r="24" spans="2:14">
      <c r="B24" s="56"/>
      <c r="C24" s="499" t="s">
        <v>161</v>
      </c>
      <c r="D24" s="499"/>
      <c r="E24" s="102"/>
      <c r="G24" s="102"/>
      <c r="I24" s="102"/>
      <c r="K24" s="102"/>
      <c r="N24" s="99"/>
    </row>
    <row r="25" spans="2:14" ht="30.95" customHeight="1">
      <c r="B25" s="56"/>
      <c r="C25" s="111" t="s">
        <v>162</v>
      </c>
      <c r="D25" s="111" t="s">
        <v>163</v>
      </c>
      <c r="E25" s="110"/>
      <c r="G25" s="102"/>
      <c r="I25" s="102"/>
      <c r="K25" s="102"/>
      <c r="N25" s="99"/>
    </row>
    <row r="26" spans="2:14">
      <c r="B26" s="56"/>
      <c r="C26" s="116" t="s">
        <v>164</v>
      </c>
      <c r="D26" s="117">
        <v>0</v>
      </c>
      <c r="E26" s="102"/>
      <c r="G26" s="102"/>
      <c r="I26" s="102"/>
      <c r="K26" s="102"/>
      <c r="N26" s="99"/>
    </row>
    <row r="27" spans="2:14">
      <c r="B27" s="56"/>
      <c r="C27" s="116" t="s">
        <v>165</v>
      </c>
      <c r="D27" s="117">
        <v>0</v>
      </c>
      <c r="E27" s="102"/>
      <c r="G27" s="102"/>
      <c r="I27" s="102"/>
      <c r="K27" s="102"/>
      <c r="N27" s="99"/>
    </row>
    <row r="28" spans="2:14">
      <c r="B28" s="56"/>
      <c r="C28" s="116" t="s">
        <v>166</v>
      </c>
      <c r="D28" s="117">
        <v>0</v>
      </c>
      <c r="E28" s="102"/>
      <c r="G28" s="102"/>
      <c r="I28" s="102"/>
      <c r="K28" s="102"/>
      <c r="N28" s="99"/>
    </row>
    <row r="29" spans="2:14">
      <c r="B29" s="56"/>
      <c r="C29" s="116" t="s">
        <v>167</v>
      </c>
      <c r="D29" s="117">
        <v>0</v>
      </c>
      <c r="E29" s="102"/>
      <c r="G29" s="102"/>
      <c r="I29" s="102"/>
      <c r="K29" s="102"/>
      <c r="N29" s="99"/>
    </row>
    <row r="30" spans="2:14">
      <c r="B30" s="56"/>
      <c r="C30" s="116" t="s">
        <v>168</v>
      </c>
      <c r="D30" s="117">
        <v>0</v>
      </c>
      <c r="E30" s="102"/>
      <c r="G30" s="102"/>
      <c r="I30" s="102"/>
      <c r="K30" s="102"/>
      <c r="N30" s="99"/>
    </row>
    <row r="31" spans="2:14" ht="17.100000000000001" thickBot="1">
      <c r="B31" s="104"/>
      <c r="C31" s="50"/>
      <c r="D31" s="50"/>
      <c r="E31" s="50"/>
      <c r="F31" s="50"/>
      <c r="G31" s="50"/>
      <c r="H31" s="50"/>
      <c r="I31" s="50"/>
      <c r="J31" s="50"/>
      <c r="K31" s="50"/>
      <c r="L31" s="50"/>
      <c r="M31" s="50"/>
      <c r="N31" s="105"/>
    </row>
    <row r="32" spans="2:14" ht="17.100000000000001" thickBot="1"/>
    <row r="33" spans="2:11">
      <c r="B33" s="54"/>
      <c r="C33" s="55"/>
      <c r="D33" s="55"/>
      <c r="E33" s="55"/>
      <c r="F33" s="55"/>
      <c r="G33" s="55"/>
      <c r="H33" s="55"/>
      <c r="I33" s="98"/>
    </row>
    <row r="34" spans="2:11" ht="33.950000000000003">
      <c r="B34" s="56"/>
      <c r="C34" s="254" t="s">
        <v>169</v>
      </c>
      <c r="D34" s="255" t="s">
        <v>170</v>
      </c>
      <c r="E34" s="254" t="s">
        <v>171</v>
      </c>
      <c r="F34" s="254" t="s">
        <v>172</v>
      </c>
      <c r="G34" s="254" t="s">
        <v>173</v>
      </c>
      <c r="H34" s="254" t="s">
        <v>174</v>
      </c>
      <c r="I34" s="99"/>
    </row>
    <row r="35" spans="2:11" ht="87.95" customHeight="1">
      <c r="B35" s="56"/>
      <c r="C35" s="256" t="s">
        <v>175</v>
      </c>
      <c r="D35" s="257" t="s">
        <v>176</v>
      </c>
      <c r="E35" s="257" t="s">
        <v>177</v>
      </c>
      <c r="F35" s="257" t="s">
        <v>178</v>
      </c>
      <c r="G35" s="257" t="s">
        <v>179</v>
      </c>
      <c r="H35" s="257" t="s">
        <v>180</v>
      </c>
      <c r="I35" s="99"/>
    </row>
    <row r="36" spans="2:11" ht="87.95" customHeight="1">
      <c r="B36" s="56"/>
      <c r="C36" s="256" t="s">
        <v>181</v>
      </c>
      <c r="D36" s="257" t="s">
        <v>176</v>
      </c>
      <c r="E36" s="257" t="s">
        <v>177</v>
      </c>
      <c r="F36" s="257" t="s">
        <v>178</v>
      </c>
      <c r="G36" s="257" t="s">
        <v>179</v>
      </c>
      <c r="H36" s="257" t="s">
        <v>180</v>
      </c>
      <c r="I36" s="99"/>
    </row>
    <row r="37" spans="2:11" ht="87.95" customHeight="1">
      <c r="B37" s="56"/>
      <c r="C37" s="256" t="s">
        <v>182</v>
      </c>
      <c r="D37" s="257" t="s">
        <v>183</v>
      </c>
      <c r="E37" s="257" t="s">
        <v>184</v>
      </c>
      <c r="F37" s="257" t="s">
        <v>178</v>
      </c>
      <c r="G37" s="257" t="s">
        <v>179</v>
      </c>
      <c r="H37" s="257" t="s">
        <v>180</v>
      </c>
      <c r="I37" s="99"/>
    </row>
    <row r="38" spans="2:11" ht="87.95" customHeight="1">
      <c r="B38" s="56"/>
      <c r="C38" s="256" t="s">
        <v>185</v>
      </c>
      <c r="D38" s="257" t="s">
        <v>176</v>
      </c>
      <c r="E38" s="257" t="s">
        <v>186</v>
      </c>
      <c r="F38" s="257" t="s">
        <v>178</v>
      </c>
      <c r="G38" s="257" t="s">
        <v>179</v>
      </c>
      <c r="H38" s="257" t="s">
        <v>180</v>
      </c>
      <c r="I38" s="99"/>
    </row>
    <row r="39" spans="2:11" ht="87.95" customHeight="1">
      <c r="B39" s="56"/>
      <c r="C39" s="256" t="s">
        <v>187</v>
      </c>
      <c r="D39" s="257" t="s">
        <v>188</v>
      </c>
      <c r="E39" s="257" t="s">
        <v>189</v>
      </c>
      <c r="F39" s="257" t="s">
        <v>178</v>
      </c>
      <c r="G39" s="257" t="s">
        <v>179</v>
      </c>
      <c r="H39" s="257" t="s">
        <v>180</v>
      </c>
      <c r="I39" s="99"/>
    </row>
    <row r="40" spans="2:11">
      <c r="B40" s="56"/>
      <c r="I40" s="99"/>
    </row>
    <row r="41" spans="2:11">
      <c r="B41" s="56"/>
      <c r="C41" s="568" t="s">
        <v>139</v>
      </c>
      <c r="D41" s="568"/>
      <c r="E41" s="568"/>
      <c r="F41" s="568"/>
      <c r="G41" s="568"/>
      <c r="H41" s="568"/>
      <c r="I41" s="106"/>
      <c r="J41" s="92"/>
      <c r="K41" s="92"/>
    </row>
    <row r="42" spans="2:11" ht="83.1" customHeight="1">
      <c r="B42" s="56"/>
      <c r="C42" s="497" t="s">
        <v>190</v>
      </c>
      <c r="D42" s="497"/>
      <c r="E42" s="497"/>
      <c r="F42" s="497"/>
      <c r="G42" s="497"/>
      <c r="H42" s="497"/>
      <c r="I42" s="99"/>
    </row>
    <row r="43" spans="2:11" ht="17.100000000000001" thickBot="1">
      <c r="B43" s="104"/>
      <c r="C43" s="50"/>
      <c r="D43" s="50"/>
      <c r="E43" s="50"/>
      <c r="F43" s="50"/>
      <c r="G43" s="50"/>
      <c r="H43" s="50"/>
      <c r="I43" s="105"/>
    </row>
  </sheetData>
  <sheetProtection algorithmName="SHA-512" hashValue="+Fm27vmZLXfG/W03XMb7sHHFQeJ3Ugdy4lkBzsjDf1XTt24fEorhF2Y7r5F8loJFEdWmVThgtSddyzjm9dXHPQ==" saltValue="Who2Sv9FmBuhTU2iR2SwLg==" spinCount="100000" sheet="1" objects="1" scenarios="1" insertRows="0" deleteRows="0"/>
  <mergeCells count="8">
    <mergeCell ref="L21:N21"/>
    <mergeCell ref="C42:H42"/>
    <mergeCell ref="C41:H41"/>
    <mergeCell ref="K2:M2"/>
    <mergeCell ref="H2:I2"/>
    <mergeCell ref="C24:D24"/>
    <mergeCell ref="E16:F16"/>
    <mergeCell ref="E17:F17"/>
  </mergeCells>
  <phoneticPr fontId="20" type="noConversion"/>
  <pageMargins left="0.7" right="0.7" top="0.75" bottom="0.75" header="0.3" footer="0.3"/>
  <pageSetup paperSize="3" scale="84" orientation="landscape" verticalDpi="0" r:id="rId1"/>
  <tableParts count="3">
    <tablePart r:id="rId2"/>
    <tablePart r:id="rId3"/>
    <tablePart r:id="rId4"/>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1ECA8943-37A3-4C47-85F6-C2C6A5CB50C9}">
          <x14:formula1>
            <xm:f>DROPDOWN!$E$4:$E$15</xm:f>
          </x14:formula1>
          <xm:sqref>D35:D39</xm:sqref>
        </x14:dataValidation>
        <x14:dataValidation type="list" allowBlank="1" showInputMessage="1" showErrorMessage="1" xr:uid="{58E4334C-7398-1343-A180-6B8A0C7889DA}">
          <x14:formula1>
            <xm:f>DROPDOWN!$F$4:$F$15</xm:f>
          </x14:formula1>
          <xm:sqref>G16</xm:sqref>
        </x14:dataValidation>
        <x14:dataValidation type="list" allowBlank="1" showInputMessage="1" showErrorMessage="1" xr:uid="{B3041036-2C0C-CA4B-BB10-40304636A339}">
          <x14:formula1>
            <xm:f>DROPDOWN!$G$4:$G$15</xm:f>
          </x14:formula1>
          <xm:sqref>G17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911C-051C-7F49-B504-F408FE7F193D}">
  <sheetPr>
    <tabColor rgb="FFA71D23"/>
  </sheetPr>
  <dimension ref="B2:G10"/>
  <sheetViews>
    <sheetView zoomScaleNormal="100" workbookViewId="0">
      <selection activeCell="C20" sqref="C20"/>
    </sheetView>
  </sheetViews>
  <sheetFormatPr defaultColWidth="10.5" defaultRowHeight="15.95"/>
  <cols>
    <col min="3" max="3" width="41.875" customWidth="1"/>
    <col min="4" max="4" width="10.875" customWidth="1"/>
    <col min="5" max="5" width="54.5" customWidth="1"/>
    <col min="6" max="6" width="16.625" customWidth="1"/>
    <col min="7" max="7" width="14.5" customWidth="1"/>
  </cols>
  <sheetData>
    <row r="2" spans="2:7" s="14" customFormat="1" ht="33" customHeight="1">
      <c r="B2" s="14" t="s">
        <v>191</v>
      </c>
      <c r="C2" s="70" t="s">
        <v>192</v>
      </c>
      <c r="D2" s="21" t="s">
        <v>193</v>
      </c>
      <c r="E2" s="21" t="s">
        <v>194</v>
      </c>
      <c r="F2" s="21" t="s">
        <v>195</v>
      </c>
      <c r="G2" s="21" t="s">
        <v>196</v>
      </c>
    </row>
    <row r="3" spans="2:7" ht="32.1" customHeight="1">
      <c r="B3" s="14" t="s">
        <v>197</v>
      </c>
      <c r="C3" s="227" t="s">
        <v>198</v>
      </c>
      <c r="D3" s="228" t="s">
        <v>199</v>
      </c>
      <c r="E3" s="227" t="s">
        <v>200</v>
      </c>
      <c r="F3" s="228" t="s">
        <v>201</v>
      </c>
      <c r="G3" s="228" t="s">
        <v>202</v>
      </c>
    </row>
    <row r="4" spans="2:7" ht="32.1" customHeight="1">
      <c r="B4" s="14" t="s">
        <v>203</v>
      </c>
      <c r="C4" s="227" t="s">
        <v>204</v>
      </c>
      <c r="D4" s="228" t="s">
        <v>199</v>
      </c>
      <c r="E4" s="227" t="s">
        <v>200</v>
      </c>
      <c r="F4" s="228" t="s">
        <v>201</v>
      </c>
      <c r="G4" s="228" t="s">
        <v>205</v>
      </c>
    </row>
    <row r="5" spans="2:7" ht="32.1" customHeight="1">
      <c r="B5" s="14" t="s">
        <v>206</v>
      </c>
      <c r="C5" s="227" t="s">
        <v>207</v>
      </c>
      <c r="D5" s="228" t="s">
        <v>199</v>
      </c>
      <c r="E5" s="227" t="s">
        <v>200</v>
      </c>
      <c r="F5" s="228" t="s">
        <v>201</v>
      </c>
      <c r="G5" s="228" t="s">
        <v>208</v>
      </c>
    </row>
    <row r="6" spans="2:7" ht="32.1" customHeight="1">
      <c r="B6" s="14" t="s">
        <v>209</v>
      </c>
      <c r="C6" s="227" t="s">
        <v>210</v>
      </c>
      <c r="D6" s="228" t="s">
        <v>199</v>
      </c>
      <c r="E6" s="227" t="s">
        <v>200</v>
      </c>
      <c r="F6" s="228" t="s">
        <v>201</v>
      </c>
      <c r="G6" s="228" t="s">
        <v>202</v>
      </c>
    </row>
    <row r="7" spans="2:7" ht="32.1" customHeight="1">
      <c r="B7" s="14" t="s">
        <v>211</v>
      </c>
      <c r="C7" s="227" t="s">
        <v>210</v>
      </c>
      <c r="D7" s="228" t="s">
        <v>199</v>
      </c>
      <c r="E7" s="227" t="s">
        <v>200</v>
      </c>
      <c r="F7" s="228" t="s">
        <v>201</v>
      </c>
      <c r="G7" s="228" t="s">
        <v>212</v>
      </c>
    </row>
    <row r="8" spans="2:7" ht="32.1" customHeight="1">
      <c r="B8" s="14" t="s">
        <v>213</v>
      </c>
      <c r="C8" s="227" t="s">
        <v>210</v>
      </c>
      <c r="D8" s="228" t="s">
        <v>214</v>
      </c>
      <c r="E8" s="227" t="s">
        <v>200</v>
      </c>
      <c r="F8" s="228" t="s">
        <v>201</v>
      </c>
      <c r="G8" s="228" t="s">
        <v>212</v>
      </c>
    </row>
    <row r="9" spans="2:7" ht="32.1" customHeight="1">
      <c r="B9" s="14" t="s">
        <v>215</v>
      </c>
      <c r="C9" s="227" t="s">
        <v>210</v>
      </c>
      <c r="D9" s="228" t="s">
        <v>216</v>
      </c>
      <c r="E9" s="227" t="s">
        <v>200</v>
      </c>
      <c r="F9" s="228" t="s">
        <v>201</v>
      </c>
      <c r="G9" s="228" t="s">
        <v>212</v>
      </c>
    </row>
    <row r="10" spans="2:7" ht="32.1" customHeight="1">
      <c r="B10" s="14" t="s">
        <v>217</v>
      </c>
      <c r="C10" s="227" t="s">
        <v>210</v>
      </c>
      <c r="D10" s="228" t="s">
        <v>199</v>
      </c>
      <c r="E10" s="227" t="s">
        <v>200</v>
      </c>
      <c r="F10" s="228" t="s">
        <v>201</v>
      </c>
      <c r="G10" s="228" t="s">
        <v>212</v>
      </c>
    </row>
  </sheetData>
  <phoneticPr fontId="20" type="noConversion"/>
  <pageMargins left="0.7" right="0.7" top="0.75" bottom="0.75" header="0.3" footer="0.3"/>
  <pageSetup orientation="portrait" verticalDpi="0"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A9E48D56-6211-A546-96F5-0ED48BEDC065}">
          <x14:formula1>
            <xm:f>DROPDOWN!$B$4:$B$15</xm:f>
          </x14:formula1>
          <xm:sqref>D3:D10</xm:sqref>
        </x14:dataValidation>
        <x14:dataValidation type="list" allowBlank="1" showInputMessage="1" showErrorMessage="1" xr:uid="{F50CAB19-42BE-D54B-BAE0-14847704FC6B}">
          <x14:formula1>
            <xm:f>DROPDOWN!$C$4:$C$15</xm:f>
          </x14:formula1>
          <xm:sqref>F3:F10</xm:sqref>
        </x14:dataValidation>
        <x14:dataValidation type="list" allowBlank="1" showInputMessage="1" showErrorMessage="1" xr:uid="{FEE67E5F-3D35-684C-BC08-76BDAB62A087}">
          <x14:formula1>
            <xm:f>DROPDOWN!$D$4:$D$15</xm:f>
          </x14:formula1>
          <xm:sqref>G3:G10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5A8F-F8C3-CE40-878D-FE40BF791F6D}">
  <sheetPr>
    <tabColor rgb="FFE58200"/>
    <pageSetUpPr fitToPage="1"/>
  </sheetPr>
  <dimension ref="B2:X41"/>
  <sheetViews>
    <sheetView topLeftCell="C10" zoomScaleNormal="100" workbookViewId="0">
      <selection activeCell="I2" sqref="I2:L2"/>
    </sheetView>
  </sheetViews>
  <sheetFormatPr defaultColWidth="10.5" defaultRowHeight="15.95"/>
  <cols>
    <col min="1" max="1" width="5.5" customWidth="1"/>
    <col min="2" max="2" width="15.125" style="14" customWidth="1"/>
    <col min="3" max="3" width="27.125" customWidth="1"/>
    <col min="4" max="4" width="31.625" customWidth="1"/>
    <col min="5" max="5" width="18.625" customWidth="1"/>
    <col min="6" max="6" width="46.375" customWidth="1"/>
    <col min="7" max="7" width="22.875" customWidth="1"/>
    <col min="8" max="8" width="11" bestFit="1" customWidth="1"/>
    <col min="9" max="9" width="32.375" customWidth="1"/>
    <col min="10" max="10" width="16.5" customWidth="1"/>
    <col min="11" max="11" width="13.5" customWidth="1"/>
    <col min="12" max="12" width="15.375" customWidth="1"/>
  </cols>
  <sheetData>
    <row r="2" spans="2:12" s="21" customFormat="1" ht="54.95" customHeight="1">
      <c r="B2" s="21" t="s">
        <v>218</v>
      </c>
      <c r="C2" s="21" t="s">
        <v>219</v>
      </c>
      <c r="D2" s="21" t="s">
        <v>220</v>
      </c>
      <c r="E2" s="21" t="s">
        <v>221</v>
      </c>
      <c r="F2" s="21" t="s">
        <v>222</v>
      </c>
      <c r="H2" s="14" t="s">
        <v>223</v>
      </c>
      <c r="I2" s="263" t="s">
        <v>224</v>
      </c>
      <c r="J2" s="263" t="s">
        <v>225</v>
      </c>
      <c r="K2" s="263" t="s">
        <v>91</v>
      </c>
      <c r="L2" s="263" t="s">
        <v>226</v>
      </c>
    </row>
    <row r="3" spans="2:12">
      <c r="B3" s="24" t="s">
        <v>227</v>
      </c>
      <c r="C3" s="229">
        <v>45658</v>
      </c>
      <c r="D3" s="217">
        <v>862</v>
      </c>
      <c r="E3" s="217">
        <v>0</v>
      </c>
      <c r="F3" s="217">
        <v>20</v>
      </c>
      <c r="H3" s="14">
        <v>1</v>
      </c>
      <c r="I3" s="177"/>
      <c r="J3" s="176">
        <v>0</v>
      </c>
      <c r="K3" t="s">
        <v>228</v>
      </c>
      <c r="L3" s="176">
        <f>IF(Table15[[#This Row],[Status]]="Open",Table15[[#This Row],[VLN Value]]," ")</f>
        <v>0</v>
      </c>
    </row>
    <row r="4" spans="2:12">
      <c r="B4" s="24" t="s">
        <v>229</v>
      </c>
      <c r="C4" s="23">
        <f>EOMONTH(C3,0)+1</f>
        <v>45689</v>
      </c>
      <c r="D4" s="217">
        <v>1924</v>
      </c>
      <c r="E4" s="217">
        <v>0</v>
      </c>
      <c r="F4" s="217">
        <v>23</v>
      </c>
      <c r="H4" s="14">
        <v>2</v>
      </c>
      <c r="I4" s="177"/>
      <c r="J4" s="176">
        <v>1000</v>
      </c>
      <c r="K4" t="s">
        <v>228</v>
      </c>
      <c r="L4" s="176">
        <f>IF(Table15[[#This Row],[Status]]="Open",Table15[[#This Row],[VLN Value]]," ")</f>
        <v>1000</v>
      </c>
    </row>
    <row r="5" spans="2:12">
      <c r="B5" s="24" t="s">
        <v>230</v>
      </c>
      <c r="C5" s="23">
        <f t="shared" ref="C5:C32" si="0">EOMONTH(C4,0)+1</f>
        <v>45717</v>
      </c>
      <c r="D5" s="217">
        <v>2585</v>
      </c>
      <c r="E5" s="217">
        <v>0</v>
      </c>
      <c r="F5" s="217">
        <v>36</v>
      </c>
      <c r="H5" s="14">
        <v>3</v>
      </c>
      <c r="I5" s="177"/>
      <c r="J5" s="176">
        <v>0</v>
      </c>
      <c r="K5" t="s">
        <v>228</v>
      </c>
      <c r="L5" s="176">
        <f>IF(Table15[[#This Row],[Status]]="Open",Table15[[#This Row],[VLN Value]]," ")</f>
        <v>0</v>
      </c>
    </row>
    <row r="6" spans="2:12">
      <c r="B6" s="24" t="s">
        <v>231</v>
      </c>
      <c r="C6" s="23">
        <f t="shared" si="0"/>
        <v>45748</v>
      </c>
      <c r="D6" s="217">
        <v>4226</v>
      </c>
      <c r="E6" s="217">
        <v>1</v>
      </c>
      <c r="F6" s="217">
        <v>24</v>
      </c>
      <c r="H6" s="14">
        <v>4</v>
      </c>
      <c r="I6" s="177"/>
      <c r="J6" s="176">
        <v>0</v>
      </c>
      <c r="K6" t="s">
        <v>228</v>
      </c>
      <c r="L6" s="176">
        <f>IF(Table15[[#This Row],[Status]]="Open",Table15[[#This Row],[VLN Value]]," ")</f>
        <v>0</v>
      </c>
    </row>
    <row r="7" spans="2:12">
      <c r="B7" s="24" t="s">
        <v>232</v>
      </c>
      <c r="C7" s="23">
        <f t="shared" si="0"/>
        <v>45778</v>
      </c>
      <c r="D7" s="217">
        <f>4001+16+178+356+84</f>
        <v>4635</v>
      </c>
      <c r="E7" s="217">
        <v>0</v>
      </c>
      <c r="F7" s="217">
        <v>17</v>
      </c>
      <c r="H7" s="14">
        <v>5</v>
      </c>
      <c r="I7" s="177"/>
      <c r="J7" s="176">
        <v>0</v>
      </c>
      <c r="K7" t="s">
        <v>228</v>
      </c>
      <c r="L7" s="176">
        <f>IF(Table15[[#This Row],[Status]]="Open",Table15[[#This Row],[VLN Value]]," ")</f>
        <v>0</v>
      </c>
    </row>
    <row r="8" spans="2:12">
      <c r="B8" s="24" t="s">
        <v>233</v>
      </c>
      <c r="C8" s="23">
        <f t="shared" si="0"/>
        <v>45809</v>
      </c>
      <c r="D8" s="217">
        <v>99999</v>
      </c>
      <c r="E8" s="217">
        <v>0</v>
      </c>
      <c r="F8" s="217">
        <v>0</v>
      </c>
      <c r="H8" s="14">
        <v>6</v>
      </c>
      <c r="I8" s="177"/>
      <c r="J8" s="176">
        <v>0</v>
      </c>
      <c r="K8" t="s">
        <v>228</v>
      </c>
      <c r="L8" s="176">
        <f>IF(Table15[[#This Row],[Status]]="Open",Table15[[#This Row],[VLN Value]]," ")</f>
        <v>0</v>
      </c>
    </row>
    <row r="9" spans="2:12">
      <c r="B9" s="24" t="s">
        <v>234</v>
      </c>
      <c r="C9" s="23">
        <f t="shared" si="0"/>
        <v>45839</v>
      </c>
      <c r="D9" s="217">
        <v>0</v>
      </c>
      <c r="E9" s="217">
        <v>0</v>
      </c>
      <c r="F9" s="217">
        <v>0</v>
      </c>
      <c r="H9" s="14">
        <v>7</v>
      </c>
      <c r="I9" s="177"/>
      <c r="J9" s="176">
        <v>0</v>
      </c>
      <c r="K9" t="s">
        <v>228</v>
      </c>
      <c r="L9" s="176">
        <f>IF(Table15[[#This Row],[Status]]="Open",Table15[[#This Row],[VLN Value]]," ")</f>
        <v>0</v>
      </c>
    </row>
    <row r="10" spans="2:12">
      <c r="B10" s="24" t="s">
        <v>235</v>
      </c>
      <c r="C10" s="23">
        <f t="shared" si="0"/>
        <v>45870</v>
      </c>
      <c r="D10" s="217">
        <v>0</v>
      </c>
      <c r="E10" s="217">
        <v>0</v>
      </c>
      <c r="F10" s="217">
        <v>0</v>
      </c>
      <c r="H10" s="14">
        <v>8</v>
      </c>
      <c r="I10" s="177"/>
      <c r="J10" s="176">
        <v>0</v>
      </c>
      <c r="K10" t="s">
        <v>228</v>
      </c>
      <c r="L10" s="176">
        <f>IF(Table15[[#This Row],[Status]]="Open",Table15[[#This Row],[VLN Value]]," ")</f>
        <v>0</v>
      </c>
    </row>
    <row r="11" spans="2:12">
      <c r="B11" s="24" t="s">
        <v>236</v>
      </c>
      <c r="C11" s="23">
        <f t="shared" si="0"/>
        <v>45901</v>
      </c>
      <c r="D11" s="217">
        <v>0</v>
      </c>
      <c r="E11" s="217">
        <v>0</v>
      </c>
      <c r="F11" s="217">
        <v>0</v>
      </c>
      <c r="H11" s="14">
        <v>9</v>
      </c>
      <c r="I11" s="177"/>
      <c r="J11" s="176">
        <v>0</v>
      </c>
      <c r="K11" t="s">
        <v>228</v>
      </c>
      <c r="L11" s="176">
        <f>IF(Table15[[#This Row],[Status]]="Open",Table15[[#This Row],[VLN Value]]," ")</f>
        <v>0</v>
      </c>
    </row>
    <row r="12" spans="2:12">
      <c r="B12" s="24" t="s">
        <v>237</v>
      </c>
      <c r="C12" s="23">
        <f t="shared" si="0"/>
        <v>45931</v>
      </c>
      <c r="D12" s="217">
        <v>0</v>
      </c>
      <c r="E12" s="217">
        <v>0</v>
      </c>
      <c r="F12" s="217">
        <v>0</v>
      </c>
      <c r="H12" s="14">
        <v>10</v>
      </c>
      <c r="I12" s="177"/>
      <c r="J12" s="176">
        <v>0</v>
      </c>
      <c r="K12" t="s">
        <v>228</v>
      </c>
      <c r="L12" s="176">
        <f>IF(Table15[[#This Row],[Status]]="Open",Table15[[#This Row],[VLN Value]]," ")</f>
        <v>0</v>
      </c>
    </row>
    <row r="13" spans="2:12">
      <c r="B13" s="24" t="s">
        <v>238</v>
      </c>
      <c r="C13" s="23">
        <f t="shared" si="0"/>
        <v>45962</v>
      </c>
      <c r="D13" s="217">
        <v>0</v>
      </c>
      <c r="E13" s="217">
        <v>0</v>
      </c>
      <c r="F13" s="217">
        <v>0</v>
      </c>
      <c r="H13" s="14">
        <v>11</v>
      </c>
      <c r="I13" s="177"/>
      <c r="J13" s="176">
        <v>0</v>
      </c>
      <c r="K13" t="s">
        <v>228</v>
      </c>
      <c r="L13" s="176">
        <f>IF(Table15[[#This Row],[Status]]="Open",Table15[[#This Row],[VLN Value]]," ")</f>
        <v>0</v>
      </c>
    </row>
    <row r="14" spans="2:12">
      <c r="B14" s="24" t="s">
        <v>239</v>
      </c>
      <c r="C14" s="23">
        <f t="shared" si="0"/>
        <v>45992</v>
      </c>
      <c r="D14" s="217">
        <v>0</v>
      </c>
      <c r="E14" s="217">
        <v>0</v>
      </c>
      <c r="F14" s="217">
        <v>0</v>
      </c>
      <c r="H14" s="14">
        <v>12</v>
      </c>
      <c r="I14" s="177"/>
      <c r="J14" s="176">
        <v>0</v>
      </c>
      <c r="K14" t="s">
        <v>228</v>
      </c>
      <c r="L14" s="176">
        <f>IF(Table15[[#This Row],[Status]]="Open",Table15[[#This Row],[VLN Value]]," ")</f>
        <v>0</v>
      </c>
    </row>
    <row r="15" spans="2:12">
      <c r="B15" s="24" t="s">
        <v>240</v>
      </c>
      <c r="C15" s="23">
        <f t="shared" si="0"/>
        <v>46023</v>
      </c>
      <c r="D15" s="217">
        <v>0</v>
      </c>
      <c r="E15" s="217">
        <v>0</v>
      </c>
      <c r="F15" s="217">
        <v>0</v>
      </c>
      <c r="H15" s="14">
        <v>13</v>
      </c>
      <c r="I15" s="177"/>
      <c r="J15" s="176">
        <v>0</v>
      </c>
      <c r="K15" t="s">
        <v>228</v>
      </c>
      <c r="L15" s="176">
        <f>IF(Table15[[#This Row],[Status]]="Open",Table15[[#This Row],[VLN Value]]," ")</f>
        <v>0</v>
      </c>
    </row>
    <row r="16" spans="2:12">
      <c r="B16" s="24" t="s">
        <v>241</v>
      </c>
      <c r="C16" s="23">
        <f t="shared" si="0"/>
        <v>46054</v>
      </c>
      <c r="D16" s="217">
        <v>0</v>
      </c>
      <c r="E16" s="217">
        <v>0</v>
      </c>
      <c r="F16" s="217">
        <v>0</v>
      </c>
      <c r="H16" s="14">
        <v>14</v>
      </c>
      <c r="I16" s="177"/>
      <c r="J16" s="176">
        <v>0</v>
      </c>
      <c r="K16" t="s">
        <v>228</v>
      </c>
      <c r="L16" s="176">
        <f>IF(Table15[[#This Row],[Status]]="Open",Table15[[#This Row],[VLN Value]]," ")</f>
        <v>0</v>
      </c>
    </row>
    <row r="17" spans="2:12">
      <c r="B17" s="24" t="s">
        <v>242</v>
      </c>
      <c r="C17" s="23">
        <f t="shared" si="0"/>
        <v>46082</v>
      </c>
      <c r="D17" s="217">
        <v>0</v>
      </c>
      <c r="E17" s="217">
        <v>0</v>
      </c>
      <c r="F17" s="217">
        <v>0</v>
      </c>
      <c r="H17" s="14">
        <v>15</v>
      </c>
      <c r="I17" s="177"/>
      <c r="J17" s="176">
        <v>0</v>
      </c>
      <c r="K17" t="s">
        <v>228</v>
      </c>
      <c r="L17" s="176">
        <f>IF(Table15[[#This Row],[Status]]="Open",Table15[[#This Row],[VLN Value]]," ")</f>
        <v>0</v>
      </c>
    </row>
    <row r="18" spans="2:12">
      <c r="B18" s="24" t="s">
        <v>243</v>
      </c>
      <c r="C18" s="23">
        <f t="shared" si="0"/>
        <v>46113</v>
      </c>
      <c r="D18" s="217">
        <v>0</v>
      </c>
      <c r="E18" s="217">
        <v>0</v>
      </c>
      <c r="F18" s="217">
        <v>0</v>
      </c>
      <c r="H18" s="14">
        <v>16</v>
      </c>
      <c r="I18" s="177"/>
      <c r="J18" s="176">
        <v>0</v>
      </c>
      <c r="K18" t="s">
        <v>228</v>
      </c>
      <c r="L18" s="176">
        <f>IF(Table15[[#This Row],[Status]]="Open",Table15[[#This Row],[VLN Value]]," ")</f>
        <v>0</v>
      </c>
    </row>
    <row r="19" spans="2:12">
      <c r="B19" s="24" t="s">
        <v>244</v>
      </c>
      <c r="C19" s="23">
        <f t="shared" si="0"/>
        <v>46143</v>
      </c>
      <c r="D19" s="217">
        <v>0</v>
      </c>
      <c r="E19" s="217">
        <v>0</v>
      </c>
      <c r="F19" s="217">
        <v>0</v>
      </c>
      <c r="H19" s="14">
        <v>17</v>
      </c>
      <c r="I19" s="177"/>
      <c r="J19" s="176">
        <v>0</v>
      </c>
      <c r="K19" t="s">
        <v>228</v>
      </c>
      <c r="L19" s="176">
        <f>IF(Table15[[#This Row],[Status]]="Open",Table15[[#This Row],[VLN Value]]," ")</f>
        <v>0</v>
      </c>
    </row>
    <row r="20" spans="2:12">
      <c r="B20" s="24" t="s">
        <v>245</v>
      </c>
      <c r="C20" s="23">
        <f t="shared" si="0"/>
        <v>46174</v>
      </c>
      <c r="D20" s="217">
        <v>0</v>
      </c>
      <c r="E20" s="217">
        <v>0</v>
      </c>
      <c r="F20" s="217">
        <v>0</v>
      </c>
      <c r="H20" s="14">
        <v>18</v>
      </c>
      <c r="I20" s="177"/>
      <c r="J20" s="176">
        <v>0</v>
      </c>
      <c r="K20" t="s">
        <v>228</v>
      </c>
      <c r="L20" s="176">
        <f>IF(Table15[[#This Row],[Status]]="Open",Table15[[#This Row],[VLN Value]]," ")</f>
        <v>0</v>
      </c>
    </row>
    <row r="21" spans="2:12">
      <c r="B21" s="24" t="s">
        <v>246</v>
      </c>
      <c r="C21" s="23">
        <f t="shared" si="0"/>
        <v>46204</v>
      </c>
      <c r="D21" s="217">
        <v>0</v>
      </c>
      <c r="E21" s="217">
        <v>0</v>
      </c>
      <c r="F21" s="217">
        <v>0</v>
      </c>
      <c r="H21" s="14">
        <v>19</v>
      </c>
      <c r="I21" s="177"/>
      <c r="J21" s="176">
        <v>0</v>
      </c>
      <c r="K21" t="s">
        <v>228</v>
      </c>
      <c r="L21" s="176">
        <f>IF(Table15[[#This Row],[Status]]="Open",Table15[[#This Row],[VLN Value]]," ")</f>
        <v>0</v>
      </c>
    </row>
    <row r="22" spans="2:12">
      <c r="B22" s="24" t="s">
        <v>247</v>
      </c>
      <c r="C22" s="23">
        <f t="shared" si="0"/>
        <v>46235</v>
      </c>
      <c r="D22" s="217">
        <v>0</v>
      </c>
      <c r="E22" s="217">
        <v>0</v>
      </c>
      <c r="F22" s="217">
        <v>0</v>
      </c>
      <c r="H22" s="14">
        <v>20</v>
      </c>
      <c r="I22" s="177"/>
      <c r="J22" s="176">
        <v>0</v>
      </c>
      <c r="K22" t="s">
        <v>228</v>
      </c>
      <c r="L22" s="176">
        <f>IF(Table15[[#This Row],[Status]]="Open",Table15[[#This Row],[VLN Value]]," ")</f>
        <v>0</v>
      </c>
    </row>
    <row r="23" spans="2:12">
      <c r="B23" s="24" t="s">
        <v>248</v>
      </c>
      <c r="C23" s="23">
        <f t="shared" si="0"/>
        <v>46266</v>
      </c>
      <c r="D23" s="217">
        <v>0</v>
      </c>
      <c r="E23" s="217">
        <v>0</v>
      </c>
      <c r="F23" s="217">
        <v>0</v>
      </c>
      <c r="H23" s="14">
        <v>21</v>
      </c>
      <c r="I23" s="177"/>
      <c r="J23" s="176">
        <v>0</v>
      </c>
      <c r="K23" t="s">
        <v>228</v>
      </c>
      <c r="L23" s="176">
        <f>IF(Table15[[#This Row],[Status]]="Open",Table15[[#This Row],[VLN Value]]," ")</f>
        <v>0</v>
      </c>
    </row>
    <row r="24" spans="2:12">
      <c r="B24" s="24" t="s">
        <v>249</v>
      </c>
      <c r="C24" s="23">
        <f t="shared" si="0"/>
        <v>46296</v>
      </c>
      <c r="D24" s="217">
        <v>0</v>
      </c>
      <c r="E24" s="217">
        <v>0</v>
      </c>
      <c r="F24" s="217">
        <v>0</v>
      </c>
      <c r="H24" s="14">
        <v>22</v>
      </c>
      <c r="I24" s="177"/>
      <c r="J24" s="176">
        <v>0</v>
      </c>
      <c r="K24" t="s">
        <v>228</v>
      </c>
      <c r="L24" s="176">
        <f>IF(Table15[[#This Row],[Status]]="Open",Table15[[#This Row],[VLN Value]]," ")</f>
        <v>0</v>
      </c>
    </row>
    <row r="25" spans="2:12">
      <c r="B25" s="24" t="s">
        <v>250</v>
      </c>
      <c r="C25" s="23">
        <f t="shared" si="0"/>
        <v>46327</v>
      </c>
      <c r="D25" s="217">
        <v>0</v>
      </c>
      <c r="E25" s="217">
        <v>0</v>
      </c>
      <c r="F25" s="217">
        <v>0</v>
      </c>
      <c r="H25" s="14">
        <v>23</v>
      </c>
      <c r="I25" s="177"/>
      <c r="J25" s="176">
        <v>0</v>
      </c>
      <c r="K25" t="s">
        <v>228</v>
      </c>
      <c r="L25" s="176">
        <f>IF(Table15[[#This Row],[Status]]="Open",Table15[[#This Row],[VLN Value]]," ")</f>
        <v>0</v>
      </c>
    </row>
    <row r="26" spans="2:12">
      <c r="B26" s="24" t="s">
        <v>251</v>
      </c>
      <c r="C26" s="23">
        <f t="shared" si="0"/>
        <v>46357</v>
      </c>
      <c r="D26" s="217">
        <v>0</v>
      </c>
      <c r="E26" s="217">
        <v>0</v>
      </c>
      <c r="F26" s="217">
        <v>0</v>
      </c>
      <c r="H26" s="14"/>
      <c r="I26" s="177"/>
      <c r="L26" s="175"/>
    </row>
    <row r="27" spans="2:12">
      <c r="B27" s="24" t="s">
        <v>252</v>
      </c>
      <c r="C27" s="23">
        <f t="shared" si="0"/>
        <v>46388</v>
      </c>
      <c r="D27" s="217">
        <v>0</v>
      </c>
      <c r="E27" s="217">
        <v>0</v>
      </c>
      <c r="F27" s="217">
        <v>0</v>
      </c>
      <c r="H27" s="14" t="s">
        <v>253</v>
      </c>
      <c r="I27" s="14">
        <f t="shared" ref="I27" si="1">COUNTA(I3:I26)</f>
        <v>0</v>
      </c>
      <c r="J27" s="174">
        <f>SUM(J3:J26)</f>
        <v>1000</v>
      </c>
      <c r="L27" s="174">
        <f>SUM(L3:L26)</f>
        <v>1000</v>
      </c>
    </row>
    <row r="28" spans="2:12">
      <c r="B28" s="24" t="s">
        <v>254</v>
      </c>
      <c r="C28" s="23">
        <f t="shared" si="0"/>
        <v>46419</v>
      </c>
      <c r="D28" s="217">
        <v>0</v>
      </c>
      <c r="E28" s="217">
        <v>0</v>
      </c>
      <c r="F28" s="217">
        <v>0</v>
      </c>
    </row>
    <row r="29" spans="2:12">
      <c r="B29" s="24" t="s">
        <v>255</v>
      </c>
      <c r="C29" s="23">
        <f t="shared" si="0"/>
        <v>46447</v>
      </c>
      <c r="D29" s="217">
        <v>0</v>
      </c>
      <c r="E29" s="217">
        <v>0</v>
      </c>
      <c r="F29" s="217">
        <v>0</v>
      </c>
    </row>
    <row r="30" spans="2:12">
      <c r="B30" s="24" t="s">
        <v>256</v>
      </c>
      <c r="C30" s="23">
        <f t="shared" si="0"/>
        <v>46478</v>
      </c>
      <c r="D30" s="217">
        <v>0</v>
      </c>
      <c r="E30" s="217">
        <v>0</v>
      </c>
      <c r="F30" s="217">
        <v>0</v>
      </c>
    </row>
    <row r="31" spans="2:12">
      <c r="B31" s="24" t="s">
        <v>257</v>
      </c>
      <c r="C31" s="23">
        <f t="shared" si="0"/>
        <v>46508</v>
      </c>
      <c r="D31" s="217">
        <v>0</v>
      </c>
      <c r="E31" s="217">
        <v>0</v>
      </c>
      <c r="F31" s="217">
        <v>0</v>
      </c>
    </row>
    <row r="32" spans="2:12">
      <c r="B32" s="24" t="s">
        <v>258</v>
      </c>
      <c r="C32" s="23">
        <f t="shared" si="0"/>
        <v>46539</v>
      </c>
      <c r="D32" s="217">
        <v>0</v>
      </c>
      <c r="E32" s="217">
        <v>0</v>
      </c>
      <c r="F32" s="217">
        <v>0</v>
      </c>
    </row>
    <row r="33" spans="2:24">
      <c r="B33"/>
      <c r="C33" s="229"/>
      <c r="D33" s="217"/>
      <c r="E33" s="217"/>
      <c r="F33" s="217"/>
    </row>
    <row r="34" spans="2:24" s="22" customFormat="1">
      <c r="B34" s="22" t="s">
        <v>259</v>
      </c>
      <c r="C34" s="25"/>
      <c r="D34" s="27">
        <f>SUM(D3:D33)</f>
        <v>114231</v>
      </c>
      <c r="E34" s="27">
        <f t="shared" ref="E34:F34" si="2">SUM(E3:E33)</f>
        <v>1</v>
      </c>
      <c r="F34" s="27">
        <f t="shared" si="2"/>
        <v>120</v>
      </c>
    </row>
    <row r="36" spans="2:24" ht="15.95" customHeight="1">
      <c r="B36" s="231" t="s">
        <v>260</v>
      </c>
      <c r="C36" s="232" t="s">
        <v>261</v>
      </c>
      <c r="D36" s="232" t="s">
        <v>262</v>
      </c>
      <c r="E36" s="232" t="s">
        <v>196</v>
      </c>
      <c r="F36" s="232" t="s">
        <v>263</v>
      </c>
      <c r="G36" s="233" t="s">
        <v>264</v>
      </c>
      <c r="I36" s="192"/>
      <c r="J36" s="192"/>
      <c r="K36" s="234"/>
      <c r="Q36" s="192"/>
      <c r="R36" s="192"/>
      <c r="S36" s="192"/>
      <c r="T36" s="192"/>
      <c r="U36" s="192"/>
      <c r="W36" s="235"/>
      <c r="X36" s="235"/>
    </row>
    <row r="37" spans="2:24">
      <c r="B37" s="236" t="s">
        <v>265</v>
      </c>
      <c r="C37" s="237" t="s">
        <v>266</v>
      </c>
      <c r="D37" s="237" t="s">
        <v>267</v>
      </c>
      <c r="E37" s="237" t="s">
        <v>268</v>
      </c>
      <c r="F37" s="237" t="s">
        <v>269</v>
      </c>
      <c r="G37" s="238" t="s">
        <v>270</v>
      </c>
    </row>
    <row r="38" spans="2:24">
      <c r="B38" s="236" t="s">
        <v>265</v>
      </c>
      <c r="C38" s="237" t="s">
        <v>271</v>
      </c>
      <c r="D38" s="237" t="s">
        <v>272</v>
      </c>
      <c r="E38" s="237" t="s">
        <v>273</v>
      </c>
      <c r="F38" s="237" t="s">
        <v>274</v>
      </c>
      <c r="G38" s="238" t="s">
        <v>201</v>
      </c>
    </row>
    <row r="39" spans="2:24">
      <c r="B39" s="236" t="s">
        <v>265</v>
      </c>
      <c r="C39" s="237" t="s">
        <v>271</v>
      </c>
      <c r="D39" s="237" t="s">
        <v>275</v>
      </c>
      <c r="E39" s="237" t="s">
        <v>273</v>
      </c>
      <c r="F39" s="237" t="s">
        <v>276</v>
      </c>
      <c r="G39" s="238" t="s">
        <v>201</v>
      </c>
    </row>
    <row r="40" spans="2:24">
      <c r="B40" s="236" t="s">
        <v>265</v>
      </c>
      <c r="C40" s="237" t="s">
        <v>271</v>
      </c>
      <c r="D40" s="237" t="s">
        <v>277</v>
      </c>
      <c r="E40" s="237" t="s">
        <v>273</v>
      </c>
      <c r="F40" s="237" t="s">
        <v>278</v>
      </c>
      <c r="G40" s="238" t="s">
        <v>201</v>
      </c>
    </row>
    <row r="41" spans="2:24">
      <c r="B41" s="236" t="s">
        <v>265</v>
      </c>
      <c r="C41" s="237" t="s">
        <v>271</v>
      </c>
      <c r="D41" s="237" t="s">
        <v>279</v>
      </c>
      <c r="E41" s="237" t="s">
        <v>273</v>
      </c>
      <c r="F41" s="237" t="s">
        <v>280</v>
      </c>
      <c r="G41" s="238" t="s">
        <v>201</v>
      </c>
    </row>
  </sheetData>
  <phoneticPr fontId="20" type="noConversion"/>
  <dataValidations count="1">
    <dataValidation type="list" allowBlank="1" showInputMessage="1" showErrorMessage="1" sqref="K3:K26" xr:uid="{0421EA56-D847-054A-BAF5-7A1585078422}">
      <formula1>"Open,Closed"</formula1>
    </dataValidation>
  </dataValidations>
  <pageMargins left="0.7" right="0.7" top="0.75" bottom="0.75" header="0.3" footer="0.3"/>
  <pageSetup paperSize="17" scale="92" orientation="landscape" verticalDpi="0" r:id="rId1"/>
  <tableParts count="3">
    <tablePart r:id="rId2"/>
    <tablePart r:id="rId3"/>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6E2D5E9C-23DE-AB44-AEB8-8E15A628AE00}">
          <x14:formula1>
            <xm:f>DROPDOWN!$H$4:$H$19</xm:f>
          </x14:formula1>
          <xm:sqref>B37:B41</xm:sqref>
        </x14:dataValidation>
        <x14:dataValidation type="list" allowBlank="1" showInputMessage="1" showErrorMessage="1" xr:uid="{449E0443-617E-044B-9893-FB141EB7FE1E}">
          <x14:formula1>
            <xm:f>DROPDOWN!$I$4:$I$19</xm:f>
          </x14:formula1>
          <xm:sqref>C37:C41</xm:sqref>
        </x14:dataValidation>
        <x14:dataValidation type="list" allowBlank="1" showInputMessage="1" showErrorMessage="1" xr:uid="{4CE8564A-B759-FB4E-8AEA-F7EC321CB6BF}">
          <x14:formula1>
            <xm:f>DROPDOWN!$J$4:$J$19</xm:f>
          </x14:formula1>
          <xm:sqref>E37:E41</xm:sqref>
        </x14:dataValidation>
        <x14:dataValidation type="list" allowBlank="1" showInputMessage="1" showErrorMessage="1" xr:uid="{2D17D9F1-4D86-5F4E-A2E4-B1AB3F1A6F82}">
          <x14:formula1>
            <xm:f>DROPDOWN!$C$4:$C$19</xm:f>
          </x14:formula1>
          <xm:sqref>G37:G41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7F187-5359-A744-9668-C15D6031F6DF}">
  <sheetPr>
    <tabColor rgb="FFA628B1"/>
    <pageSetUpPr fitToPage="1"/>
  </sheetPr>
  <dimension ref="B2:J57"/>
  <sheetViews>
    <sheetView topLeftCell="A20" workbookViewId="0">
      <selection activeCell="C51" sqref="C51"/>
    </sheetView>
  </sheetViews>
  <sheetFormatPr defaultColWidth="10.5" defaultRowHeight="15.95"/>
  <cols>
    <col min="2" max="2" width="12.5" customWidth="1"/>
    <col min="3" max="3" width="26.625" customWidth="1"/>
    <col min="4" max="4" width="28.875" customWidth="1"/>
    <col min="5" max="5" width="23.375" customWidth="1"/>
    <col min="6" max="6" width="12.375" customWidth="1"/>
    <col min="7" max="7" width="34" customWidth="1"/>
    <col min="8" max="8" width="23.5" customWidth="1"/>
    <col min="9" max="9" width="39.875" customWidth="1"/>
    <col min="13" max="13" width="25.375" bestFit="1" customWidth="1"/>
    <col min="14" max="14" width="11.375" bestFit="1" customWidth="1"/>
    <col min="15" max="15" width="26.625" bestFit="1" customWidth="1"/>
  </cols>
  <sheetData>
    <row r="2" spans="2:9" s="21" customFormat="1" ht="33.950000000000003">
      <c r="B2" s="21" t="s">
        <v>218</v>
      </c>
      <c r="C2" s="21" t="s">
        <v>219</v>
      </c>
      <c r="D2" s="21" t="s">
        <v>281</v>
      </c>
      <c r="E2" s="21" t="s">
        <v>282</v>
      </c>
      <c r="G2" s="211"/>
      <c r="H2" s="211"/>
      <c r="I2" s="211"/>
    </row>
    <row r="3" spans="2:9">
      <c r="B3" s="24" t="s">
        <v>227</v>
      </c>
      <c r="C3" s="229">
        <v>45658</v>
      </c>
      <c r="D3" s="217">
        <v>0</v>
      </c>
      <c r="E3" s="217">
        <v>0</v>
      </c>
      <c r="G3" s="13"/>
    </row>
    <row r="4" spans="2:9">
      <c r="B4" s="24" t="s">
        <v>229</v>
      </c>
      <c r="C4" s="23">
        <f>EOMONTH(C3,0)+1</f>
        <v>45689</v>
      </c>
      <c r="D4" s="217">
        <v>0</v>
      </c>
      <c r="E4" s="217">
        <v>0</v>
      </c>
      <c r="G4" s="13"/>
    </row>
    <row r="5" spans="2:9">
      <c r="B5" s="24" t="s">
        <v>230</v>
      </c>
      <c r="C5" s="23">
        <f t="shared" ref="C5:C33" si="0">EOMONTH(C4,0)+1</f>
        <v>45717</v>
      </c>
      <c r="D5" s="217">
        <f>SAFETY!F5</f>
        <v>36</v>
      </c>
      <c r="E5" s="217">
        <v>0</v>
      </c>
      <c r="G5" s="13"/>
    </row>
    <row r="6" spans="2:9">
      <c r="B6" s="24" t="s">
        <v>231</v>
      </c>
      <c r="C6" s="23">
        <f t="shared" si="0"/>
        <v>45748</v>
      </c>
      <c r="D6" s="217">
        <f>SAFETY!F6</f>
        <v>24</v>
      </c>
      <c r="E6" s="217">
        <v>0</v>
      </c>
      <c r="G6" s="13"/>
    </row>
    <row r="7" spans="2:9">
      <c r="B7" s="24" t="s">
        <v>232</v>
      </c>
      <c r="C7" s="23">
        <f t="shared" si="0"/>
        <v>45778</v>
      </c>
      <c r="D7" s="217">
        <v>17</v>
      </c>
      <c r="E7" s="217">
        <v>0</v>
      </c>
    </row>
    <row r="8" spans="2:9">
      <c r="B8" s="24" t="s">
        <v>233</v>
      </c>
      <c r="C8" s="23">
        <f t="shared" si="0"/>
        <v>45809</v>
      </c>
      <c r="D8" s="217">
        <v>0</v>
      </c>
      <c r="E8" s="217">
        <v>0</v>
      </c>
    </row>
    <row r="9" spans="2:9">
      <c r="B9" s="24" t="s">
        <v>234</v>
      </c>
      <c r="C9" s="23">
        <f t="shared" si="0"/>
        <v>45839</v>
      </c>
      <c r="D9" s="217">
        <v>0</v>
      </c>
      <c r="E9" s="217">
        <v>0</v>
      </c>
    </row>
    <row r="10" spans="2:9">
      <c r="B10" s="24" t="s">
        <v>235</v>
      </c>
      <c r="C10" s="23">
        <f t="shared" si="0"/>
        <v>45870</v>
      </c>
      <c r="D10" s="217">
        <v>0</v>
      </c>
      <c r="E10" s="217">
        <v>0</v>
      </c>
    </row>
    <row r="11" spans="2:9">
      <c r="B11" s="24" t="s">
        <v>236</v>
      </c>
      <c r="C11" s="23">
        <f t="shared" si="0"/>
        <v>45901</v>
      </c>
      <c r="D11" s="217">
        <v>0</v>
      </c>
      <c r="E11" s="217">
        <v>0</v>
      </c>
    </row>
    <row r="12" spans="2:9">
      <c r="B12" s="24" t="s">
        <v>237</v>
      </c>
      <c r="C12" s="23">
        <f t="shared" si="0"/>
        <v>45931</v>
      </c>
      <c r="D12" s="217">
        <v>0</v>
      </c>
      <c r="E12" s="217">
        <v>0</v>
      </c>
    </row>
    <row r="13" spans="2:9">
      <c r="B13" s="24" t="s">
        <v>238</v>
      </c>
      <c r="C13" s="23">
        <f t="shared" si="0"/>
        <v>45962</v>
      </c>
      <c r="D13" s="217">
        <v>0</v>
      </c>
      <c r="E13" s="217">
        <v>0</v>
      </c>
    </row>
    <row r="14" spans="2:9">
      <c r="B14" s="24" t="s">
        <v>239</v>
      </c>
      <c r="C14" s="23">
        <f t="shared" si="0"/>
        <v>45992</v>
      </c>
      <c r="D14" s="217">
        <v>0</v>
      </c>
      <c r="E14" s="217">
        <v>0</v>
      </c>
    </row>
    <row r="15" spans="2:9">
      <c r="B15" s="24" t="s">
        <v>240</v>
      </c>
      <c r="C15" s="23">
        <f t="shared" si="0"/>
        <v>46023</v>
      </c>
      <c r="D15" s="217">
        <v>0</v>
      </c>
      <c r="E15" s="217">
        <v>0</v>
      </c>
    </row>
    <row r="16" spans="2:9">
      <c r="B16" s="24" t="s">
        <v>241</v>
      </c>
      <c r="C16" s="23">
        <f t="shared" si="0"/>
        <v>46054</v>
      </c>
      <c r="D16" s="217">
        <v>0</v>
      </c>
      <c r="E16" s="217">
        <v>0</v>
      </c>
    </row>
    <row r="17" spans="2:5">
      <c r="B17" s="24" t="s">
        <v>242</v>
      </c>
      <c r="C17" s="23">
        <f t="shared" si="0"/>
        <v>46082</v>
      </c>
      <c r="D17" s="217">
        <v>0</v>
      </c>
      <c r="E17" s="217">
        <v>0</v>
      </c>
    </row>
    <row r="18" spans="2:5">
      <c r="B18" s="24" t="s">
        <v>243</v>
      </c>
      <c r="C18" s="23">
        <f t="shared" si="0"/>
        <v>46113</v>
      </c>
      <c r="D18" s="217">
        <v>0</v>
      </c>
      <c r="E18" s="217">
        <v>0</v>
      </c>
    </row>
    <row r="19" spans="2:5">
      <c r="B19" s="24" t="s">
        <v>244</v>
      </c>
      <c r="C19" s="23">
        <f t="shared" si="0"/>
        <v>46143</v>
      </c>
      <c r="D19" s="217">
        <v>0</v>
      </c>
      <c r="E19" s="217">
        <v>0</v>
      </c>
    </row>
    <row r="20" spans="2:5">
      <c r="B20" s="24" t="s">
        <v>245</v>
      </c>
      <c r="C20" s="23">
        <f t="shared" si="0"/>
        <v>46174</v>
      </c>
      <c r="D20" s="217">
        <v>0</v>
      </c>
      <c r="E20" s="217">
        <v>0</v>
      </c>
    </row>
    <row r="21" spans="2:5">
      <c r="B21" s="24" t="s">
        <v>246</v>
      </c>
      <c r="C21" s="23">
        <f t="shared" si="0"/>
        <v>46204</v>
      </c>
      <c r="D21" s="217">
        <v>0</v>
      </c>
      <c r="E21" s="217">
        <v>0</v>
      </c>
    </row>
    <row r="22" spans="2:5">
      <c r="B22" s="24" t="s">
        <v>247</v>
      </c>
      <c r="C22" s="23">
        <f t="shared" si="0"/>
        <v>46235</v>
      </c>
      <c r="D22" s="217">
        <v>0</v>
      </c>
      <c r="E22" s="217">
        <v>0</v>
      </c>
    </row>
    <row r="23" spans="2:5">
      <c r="B23" s="24" t="s">
        <v>248</v>
      </c>
      <c r="C23" s="23">
        <f t="shared" si="0"/>
        <v>46266</v>
      </c>
      <c r="D23" s="217">
        <v>0</v>
      </c>
      <c r="E23" s="217">
        <v>0</v>
      </c>
    </row>
    <row r="24" spans="2:5">
      <c r="B24" s="24" t="s">
        <v>249</v>
      </c>
      <c r="C24" s="23">
        <f t="shared" si="0"/>
        <v>46296</v>
      </c>
      <c r="D24" s="217">
        <v>0</v>
      </c>
      <c r="E24" s="217">
        <v>0</v>
      </c>
    </row>
    <row r="25" spans="2:5">
      <c r="B25" s="24" t="s">
        <v>250</v>
      </c>
      <c r="C25" s="23">
        <f t="shared" si="0"/>
        <v>46327</v>
      </c>
      <c r="D25" s="217">
        <v>0</v>
      </c>
      <c r="E25" s="217">
        <v>0</v>
      </c>
    </row>
    <row r="26" spans="2:5">
      <c r="B26" s="24" t="s">
        <v>251</v>
      </c>
      <c r="C26" s="23">
        <f t="shared" si="0"/>
        <v>46357</v>
      </c>
      <c r="D26" s="217">
        <v>0</v>
      </c>
      <c r="E26" s="217">
        <v>0</v>
      </c>
    </row>
    <row r="27" spans="2:5">
      <c r="B27" s="24" t="s">
        <v>252</v>
      </c>
      <c r="C27" s="23">
        <f t="shared" si="0"/>
        <v>46388</v>
      </c>
      <c r="D27" s="217">
        <v>0</v>
      </c>
      <c r="E27" s="217">
        <v>0</v>
      </c>
    </row>
    <row r="28" spans="2:5">
      <c r="B28" s="24" t="s">
        <v>254</v>
      </c>
      <c r="C28" s="23">
        <f t="shared" si="0"/>
        <v>46419</v>
      </c>
      <c r="D28" s="217">
        <v>0</v>
      </c>
      <c r="E28" s="217">
        <v>0</v>
      </c>
    </row>
    <row r="29" spans="2:5">
      <c r="B29" s="24" t="s">
        <v>255</v>
      </c>
      <c r="C29" s="23">
        <f t="shared" si="0"/>
        <v>46447</v>
      </c>
      <c r="D29" s="217">
        <v>0</v>
      </c>
      <c r="E29" s="217">
        <v>0</v>
      </c>
    </row>
    <row r="30" spans="2:5">
      <c r="B30" s="24" t="s">
        <v>256</v>
      </c>
      <c r="C30" s="23">
        <f t="shared" si="0"/>
        <v>46478</v>
      </c>
      <c r="D30" s="217">
        <v>0</v>
      </c>
      <c r="E30" s="217">
        <v>0</v>
      </c>
    </row>
    <row r="31" spans="2:5">
      <c r="B31" s="24" t="s">
        <v>257</v>
      </c>
      <c r="C31" s="23">
        <f t="shared" si="0"/>
        <v>46508</v>
      </c>
      <c r="D31" s="217">
        <v>0</v>
      </c>
      <c r="E31" s="217">
        <v>0</v>
      </c>
    </row>
    <row r="32" spans="2:5">
      <c r="B32" s="24" t="s">
        <v>258</v>
      </c>
      <c r="C32" s="23">
        <f t="shared" si="0"/>
        <v>46539</v>
      </c>
      <c r="D32" s="217">
        <v>0</v>
      </c>
      <c r="E32" s="217">
        <v>0</v>
      </c>
    </row>
    <row r="33" spans="2:10">
      <c r="B33" s="24" t="s">
        <v>283</v>
      </c>
      <c r="C33" s="23">
        <f t="shared" si="0"/>
        <v>46569</v>
      </c>
      <c r="D33" s="217">
        <v>0</v>
      </c>
      <c r="E33" s="217">
        <v>0</v>
      </c>
    </row>
    <row r="34" spans="2:10">
      <c r="C34" s="229"/>
      <c r="D34" s="217"/>
      <c r="E34" s="217"/>
    </row>
    <row r="35" spans="2:10" s="22" customFormat="1">
      <c r="B35" s="22" t="s">
        <v>259</v>
      </c>
      <c r="C35" s="25"/>
      <c r="D35" s="27">
        <f>SUM(D3:D34)</f>
        <v>77</v>
      </c>
      <c r="E35" s="27">
        <f>SUM(E3:E34)</f>
        <v>0</v>
      </c>
    </row>
    <row r="37" spans="2:10">
      <c r="C37" s="213" t="s">
        <v>284</v>
      </c>
      <c r="D37" s="214" t="s">
        <v>109</v>
      </c>
      <c r="E37" s="215" t="s">
        <v>110</v>
      </c>
    </row>
    <row r="38" spans="2:10" ht="18.95">
      <c r="C38" s="212" t="s">
        <v>111</v>
      </c>
      <c r="D38" s="219">
        <v>1</v>
      </c>
      <c r="E38" s="220">
        <v>3</v>
      </c>
    </row>
    <row r="39" spans="2:10" ht="18.95">
      <c r="C39" s="212" t="s">
        <v>112</v>
      </c>
      <c r="D39" s="219">
        <v>2</v>
      </c>
      <c r="E39" s="220">
        <v>4</v>
      </c>
    </row>
    <row r="40" spans="2:10">
      <c r="B40" s="501" t="s">
        <v>285</v>
      </c>
      <c r="C40" s="212" t="s">
        <v>286</v>
      </c>
      <c r="D40" s="218" t="s">
        <v>287</v>
      </c>
      <c r="E40" s="218" t="s">
        <v>287</v>
      </c>
    </row>
    <row r="41" spans="2:10">
      <c r="B41" s="501"/>
      <c r="C41" s="212" t="s">
        <v>288</v>
      </c>
      <c r="D41" s="218" t="s">
        <v>289</v>
      </c>
      <c r="E41" s="218" t="s">
        <v>289</v>
      </c>
    </row>
    <row r="42" spans="2:10">
      <c r="B42" s="501"/>
      <c r="C42" s="212" t="s">
        <v>290</v>
      </c>
      <c r="D42" s="218" t="s">
        <v>291</v>
      </c>
      <c r="E42" s="218" t="s">
        <v>291</v>
      </c>
    </row>
    <row r="43" spans="2:10">
      <c r="B43" s="501"/>
      <c r="C43" s="212" t="s">
        <v>292</v>
      </c>
      <c r="D43" s="218" t="s">
        <v>291</v>
      </c>
      <c r="E43" s="218" t="s">
        <v>291</v>
      </c>
    </row>
    <row r="44" spans="2:10">
      <c r="B44" s="501"/>
      <c r="C44" s="216" t="s">
        <v>293</v>
      </c>
      <c r="D44" s="218" t="s">
        <v>291</v>
      </c>
      <c r="E44" s="218" t="s">
        <v>291</v>
      </c>
    </row>
    <row r="47" spans="2:10">
      <c r="B47" s="22" t="s">
        <v>260</v>
      </c>
      <c r="C47" s="22" t="s">
        <v>261</v>
      </c>
      <c r="D47" s="22" t="s">
        <v>294</v>
      </c>
      <c r="E47" s="22" t="s">
        <v>295</v>
      </c>
      <c r="F47" s="22" t="s">
        <v>196</v>
      </c>
      <c r="G47" s="22" t="s">
        <v>296</v>
      </c>
      <c r="H47" s="22" t="s">
        <v>264</v>
      </c>
      <c r="I47" s="22" t="s">
        <v>297</v>
      </c>
      <c r="J47" s="22"/>
    </row>
    <row r="48" spans="2:10">
      <c r="B48" s="191" t="s">
        <v>265</v>
      </c>
      <c r="C48" s="191" t="s">
        <v>298</v>
      </c>
      <c r="D48" s="191" t="s">
        <v>299</v>
      </c>
      <c r="E48" s="191" t="s">
        <v>300</v>
      </c>
      <c r="F48" s="191" t="s">
        <v>301</v>
      </c>
      <c r="G48" s="191" t="s">
        <v>302</v>
      </c>
      <c r="H48" s="191" t="s">
        <v>201</v>
      </c>
      <c r="I48" s="191" t="s">
        <v>303</v>
      </c>
    </row>
    <row r="49" spans="2:9">
      <c r="B49" s="191" t="s">
        <v>265</v>
      </c>
      <c r="C49" s="191" t="s">
        <v>304</v>
      </c>
      <c r="D49" s="191" t="s">
        <v>305</v>
      </c>
      <c r="E49" s="191" t="s">
        <v>300</v>
      </c>
      <c r="F49" s="191" t="s">
        <v>306</v>
      </c>
      <c r="G49" s="191" t="s">
        <v>307</v>
      </c>
      <c r="H49" s="191" t="s">
        <v>201</v>
      </c>
      <c r="I49" s="191" t="s">
        <v>308</v>
      </c>
    </row>
    <row r="50" spans="2:9">
      <c r="B50" s="191" t="s">
        <v>309</v>
      </c>
      <c r="C50" s="191" t="s">
        <v>310</v>
      </c>
      <c r="D50" s="191" t="s">
        <v>311</v>
      </c>
      <c r="E50" s="191" t="s">
        <v>312</v>
      </c>
      <c r="F50" s="191" t="s">
        <v>313</v>
      </c>
      <c r="G50" s="191" t="s">
        <v>314</v>
      </c>
      <c r="H50" s="191" t="s">
        <v>201</v>
      </c>
      <c r="I50" s="191" t="s">
        <v>315</v>
      </c>
    </row>
    <row r="51" spans="2:9">
      <c r="B51" s="191" t="s">
        <v>265</v>
      </c>
      <c r="C51" s="191" t="s">
        <v>316</v>
      </c>
      <c r="D51" s="191" t="s">
        <v>317</v>
      </c>
      <c r="E51" s="191" t="s">
        <v>318</v>
      </c>
      <c r="F51" s="191" t="s">
        <v>319</v>
      </c>
      <c r="G51" s="191" t="s">
        <v>320</v>
      </c>
      <c r="H51" s="191" t="s">
        <v>201</v>
      </c>
      <c r="I51" s="191" t="s">
        <v>321</v>
      </c>
    </row>
    <row r="52" spans="2:9">
      <c r="B52" s="191" t="s">
        <v>309</v>
      </c>
      <c r="C52" s="191" t="s">
        <v>322</v>
      </c>
      <c r="D52" s="191" t="s">
        <v>323</v>
      </c>
      <c r="E52" s="191" t="s">
        <v>324</v>
      </c>
      <c r="F52" s="191" t="s">
        <v>313</v>
      </c>
      <c r="G52" s="191" t="s">
        <v>325</v>
      </c>
      <c r="H52" s="191" t="s">
        <v>201</v>
      </c>
      <c r="I52" s="191" t="s">
        <v>326</v>
      </c>
    </row>
    <row r="53" spans="2:9">
      <c r="B53" s="191" t="s">
        <v>265</v>
      </c>
      <c r="C53" s="191" t="s">
        <v>327</v>
      </c>
      <c r="D53" s="191" t="s">
        <v>328</v>
      </c>
      <c r="E53" s="191" t="s">
        <v>329</v>
      </c>
      <c r="F53" s="191" t="s">
        <v>306</v>
      </c>
      <c r="G53" s="191" t="s">
        <v>330</v>
      </c>
      <c r="H53" s="191" t="s">
        <v>201</v>
      </c>
      <c r="I53" s="191" t="s">
        <v>308</v>
      </c>
    </row>
    <row r="54" spans="2:9">
      <c r="B54" s="191" t="s">
        <v>265</v>
      </c>
      <c r="C54" s="191" t="s">
        <v>331</v>
      </c>
      <c r="D54" s="191" t="s">
        <v>332</v>
      </c>
      <c r="E54" s="191" t="s">
        <v>333</v>
      </c>
      <c r="F54" s="191" t="s">
        <v>334</v>
      </c>
      <c r="G54" s="191" t="s">
        <v>335</v>
      </c>
      <c r="H54" s="191" t="s">
        <v>201</v>
      </c>
      <c r="I54" s="191" t="s">
        <v>336</v>
      </c>
    </row>
    <row r="55" spans="2:9">
      <c r="B55" s="191" t="s">
        <v>265</v>
      </c>
      <c r="C55" s="191" t="s">
        <v>331</v>
      </c>
      <c r="D55" s="191" t="s">
        <v>332</v>
      </c>
      <c r="E55" s="191" t="s">
        <v>333</v>
      </c>
      <c r="F55" s="191" t="s">
        <v>334</v>
      </c>
      <c r="G55" s="191" t="s">
        <v>337</v>
      </c>
      <c r="H55" s="191" t="s">
        <v>201</v>
      </c>
      <c r="I55" s="191" t="s">
        <v>338</v>
      </c>
    </row>
    <row r="56" spans="2:9">
      <c r="B56" s="191" t="s">
        <v>265</v>
      </c>
      <c r="C56" s="191" t="s">
        <v>331</v>
      </c>
      <c r="D56" s="191" t="s">
        <v>332</v>
      </c>
      <c r="E56" s="191" t="s">
        <v>333</v>
      </c>
      <c r="F56" s="191" t="s">
        <v>334</v>
      </c>
      <c r="G56" s="191" t="s">
        <v>339</v>
      </c>
      <c r="H56" s="191" t="s">
        <v>201</v>
      </c>
      <c r="I56" s="191" t="s">
        <v>340</v>
      </c>
    </row>
    <row r="57" spans="2:9">
      <c r="B57" s="191" t="s">
        <v>265</v>
      </c>
      <c r="C57" s="191" t="s">
        <v>331</v>
      </c>
      <c r="D57" s="191" t="s">
        <v>332</v>
      </c>
      <c r="E57" s="191" t="s">
        <v>333</v>
      </c>
      <c r="F57" s="191" t="s">
        <v>334</v>
      </c>
      <c r="G57" s="191" t="s">
        <v>341</v>
      </c>
      <c r="H57" s="191" t="s">
        <v>201</v>
      </c>
      <c r="I57" s="191" t="s">
        <v>342</v>
      </c>
    </row>
  </sheetData>
  <mergeCells count="1">
    <mergeCell ref="B40:B44"/>
  </mergeCells>
  <phoneticPr fontId="20" type="noConversion"/>
  <pageMargins left="0.7" right="0.7" top="0.75" bottom="0.75" header="0.3" footer="0.3"/>
  <pageSetup paperSize="17" scale="93" orientation="landscape" verticalDpi="0" r:id="rId1"/>
  <tableParts count="3">
    <tablePart r:id="rId2"/>
    <tablePart r:id="rId3"/>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EEB49E81-4C12-8F4B-A7E8-0B0AFE16E03A}">
          <x14:formula1>
            <xm:f>DROPDOWN!$H$4:$H$19</xm:f>
          </x14:formula1>
          <xm:sqref>B48:B57</xm:sqref>
        </x14:dataValidation>
        <x14:dataValidation type="list" allowBlank="1" showInputMessage="1" showErrorMessage="1" xr:uid="{93FC21B0-D1BE-B84E-A553-D84FA459469D}">
          <x14:formula1>
            <xm:f>DROPDOWN!$L$4:$L$19</xm:f>
          </x14:formula1>
          <xm:sqref>F48:F57</xm:sqref>
        </x14:dataValidation>
        <x14:dataValidation type="list" allowBlank="1" showInputMessage="1" showErrorMessage="1" xr:uid="{4B059F7F-10BA-2F45-8255-AD1BA14C0E51}">
          <x14:formula1>
            <xm:f>DROPDOWN!$C$4:$C$19</xm:f>
          </x14:formula1>
          <xm:sqref>H48:H57</xm:sqref>
        </x14:dataValidation>
        <x14:dataValidation type="list" allowBlank="1" showInputMessage="1" showErrorMessage="1" xr:uid="{6554910D-9BF4-AD4D-BCB4-FC443E2B3386}">
          <x14:formula1>
            <xm:f>DROPDOWN!$K$4:$K$40</xm:f>
          </x14:formula1>
          <xm:sqref>C48:C57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54AB-C7ED-704C-9F9D-0990899105DF}">
  <sheetPr>
    <tabColor rgb="FF00524B"/>
  </sheetPr>
  <dimension ref="B2:D13"/>
  <sheetViews>
    <sheetView workbookViewId="0">
      <selection activeCell="B12" sqref="B12"/>
    </sheetView>
  </sheetViews>
  <sheetFormatPr defaultColWidth="11" defaultRowHeight="15.95"/>
  <cols>
    <col min="2" max="2" width="35.125" customWidth="1"/>
    <col min="3" max="4" width="20.875" customWidth="1"/>
    <col min="5" max="5" width="12.625" customWidth="1"/>
    <col min="6" max="6" width="16.875" customWidth="1"/>
    <col min="7" max="7" width="11.875" customWidth="1"/>
    <col min="8" max="8" width="41.375" bestFit="1" customWidth="1"/>
  </cols>
  <sheetData>
    <row r="2" spans="2:4">
      <c r="B2" s="22" t="s">
        <v>343</v>
      </c>
      <c r="C2" s="22" t="s">
        <v>344</v>
      </c>
      <c r="D2" s="22" t="s">
        <v>345</v>
      </c>
    </row>
    <row r="3" spans="2:4">
      <c r="B3" t="s">
        <v>346</v>
      </c>
      <c r="C3" s="248">
        <v>8</v>
      </c>
      <c r="D3" s="248">
        <v>3</v>
      </c>
    </row>
    <row r="4" spans="2:4">
      <c r="B4" t="s">
        <v>347</v>
      </c>
      <c r="C4" s="248">
        <v>5</v>
      </c>
      <c r="D4" s="248">
        <v>2</v>
      </c>
    </row>
    <row r="5" spans="2:4">
      <c r="B5" t="s">
        <v>348</v>
      </c>
      <c r="C5" s="248">
        <v>4</v>
      </c>
      <c r="D5" s="248">
        <v>5</v>
      </c>
    </row>
    <row r="6" spans="2:4">
      <c r="B6" t="s">
        <v>349</v>
      </c>
      <c r="C6" s="248">
        <v>4</v>
      </c>
      <c r="D6" s="248">
        <v>5</v>
      </c>
    </row>
    <row r="7" spans="2:4">
      <c r="B7" t="s">
        <v>350</v>
      </c>
      <c r="C7" s="248">
        <v>4</v>
      </c>
      <c r="D7" s="248">
        <v>5</v>
      </c>
    </row>
    <row r="8" spans="2:4">
      <c r="B8" t="s">
        <v>351</v>
      </c>
      <c r="C8" s="248">
        <v>4</v>
      </c>
      <c r="D8" s="248">
        <v>5</v>
      </c>
    </row>
    <row r="9" spans="2:4">
      <c r="B9" t="s">
        <v>349</v>
      </c>
      <c r="C9" s="248">
        <v>4</v>
      </c>
      <c r="D9" s="248">
        <v>5</v>
      </c>
    </row>
    <row r="10" spans="2:4">
      <c r="B10" t="s">
        <v>352</v>
      </c>
      <c r="C10" s="248">
        <v>4</v>
      </c>
      <c r="D10" s="248">
        <v>5</v>
      </c>
    </row>
    <row r="11" spans="2:4">
      <c r="B11" t="s">
        <v>353</v>
      </c>
      <c r="C11" s="248">
        <v>4</v>
      </c>
      <c r="D11" s="248">
        <v>5</v>
      </c>
    </row>
    <row r="12" spans="2:4">
      <c r="C12" s="248">
        <v>0</v>
      </c>
      <c r="D12" s="248">
        <v>0</v>
      </c>
    </row>
    <row r="13" spans="2:4">
      <c r="C13" s="248">
        <v>0</v>
      </c>
      <c r="D13" s="248">
        <v>0</v>
      </c>
    </row>
  </sheetData>
  <phoneticPr fontId="20" type="noConversion"/>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0375AF7-9C9C-144E-8021-7DB4A2BA6272}">
          <x14:formula1>
            <xm:f>DROPDOWN!$M$4:$M$32</xm:f>
          </x14:formula1>
          <xm:sqref>A8 E8:XFD8 B3:B13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0D2D-8ED4-D042-B365-3795EBD6AA28}">
  <sheetPr>
    <tabColor rgb="FF2334D4"/>
    <pageSetUpPr fitToPage="1"/>
  </sheetPr>
  <dimension ref="B2:K73"/>
  <sheetViews>
    <sheetView zoomScaleNormal="100" workbookViewId="0">
      <selection activeCell="E21" sqref="E21"/>
    </sheetView>
  </sheetViews>
  <sheetFormatPr defaultColWidth="10.5" defaultRowHeight="15.95"/>
  <cols>
    <col min="1" max="1" width="5.125" customWidth="1"/>
    <col min="2" max="2" width="27.875" customWidth="1"/>
    <col min="3" max="3" width="17.5" customWidth="1"/>
    <col min="4" max="5" width="16" customWidth="1"/>
    <col min="6" max="6" width="13.875" customWidth="1"/>
    <col min="7" max="7" width="12.5" customWidth="1"/>
    <col min="8" max="9" width="20.125" customWidth="1"/>
    <col min="10" max="10" width="16.875" customWidth="1"/>
    <col min="11" max="11" width="15.375" bestFit="1" customWidth="1"/>
    <col min="12" max="12" width="14.5" bestFit="1" customWidth="1"/>
    <col min="14" max="14" width="23.125" customWidth="1"/>
    <col min="15" max="15" width="20.625" customWidth="1"/>
    <col min="16" max="16" width="31" customWidth="1"/>
  </cols>
  <sheetData>
    <row r="2" spans="2:10">
      <c r="B2" t="s">
        <v>294</v>
      </c>
      <c r="C2" s="13" t="s">
        <v>354</v>
      </c>
      <c r="D2" s="13" t="s">
        <v>355</v>
      </c>
      <c r="E2" s="13" t="s">
        <v>356</v>
      </c>
      <c r="F2" s="13"/>
    </row>
    <row r="3" spans="2:10">
      <c r="B3" t="s">
        <v>59</v>
      </c>
      <c r="C3" s="239">
        <v>8800000</v>
      </c>
      <c r="D3" s="35"/>
      <c r="E3" s="36"/>
      <c r="F3" s="13"/>
    </row>
    <row r="4" spans="2:10">
      <c r="B4" t="s">
        <v>62</v>
      </c>
      <c r="C4" s="239">
        <v>9116960.4800000004</v>
      </c>
      <c r="D4" s="239">
        <v>9014313</v>
      </c>
      <c r="E4" s="31">
        <f>IF(Table8[[#This Row],[THIS PERIOD]]="N/A","",(Table8[[#This Row],[THIS PERIOD]]-D4)/D4)</f>
        <v>1.1387166165630198E-2</v>
      </c>
      <c r="F4" s="13"/>
    </row>
    <row r="5" spans="2:10">
      <c r="B5" t="s">
        <v>66</v>
      </c>
      <c r="C5" s="239">
        <f>65000+3158.46+11550+4620</f>
        <v>84328.46</v>
      </c>
      <c r="D5" s="239">
        <v>234983</v>
      </c>
      <c r="E5" s="31">
        <f>IF(Table8[[#This Row],[THIS PERIOD]]="N/A","",(Table8[[#This Row],[THIS PERIOD]]-D5)/D5)</f>
        <v>-0.64112952851908422</v>
      </c>
      <c r="F5" s="31"/>
      <c r="H5" s="263"/>
      <c r="I5" s="267"/>
    </row>
    <row r="6" spans="2:10">
      <c r="B6" t="s">
        <v>357</v>
      </c>
      <c r="C6" s="242">
        <v>1</v>
      </c>
      <c r="D6" s="242">
        <v>1</v>
      </c>
      <c r="E6" s="31">
        <f>IF(Table8[[#This Row],[THIS PERIOD]]="N/A","",(Table8[[#This Row],[THIS PERIOD]]-D6)/D6)</f>
        <v>0</v>
      </c>
      <c r="F6" s="31"/>
      <c r="H6" s="263"/>
      <c r="I6" s="267"/>
    </row>
    <row r="7" spans="2:10">
      <c r="B7" t="s">
        <v>358</v>
      </c>
      <c r="C7" s="239" t="s">
        <v>359</v>
      </c>
      <c r="D7" s="239" t="s">
        <v>360</v>
      </c>
      <c r="E7" s="36"/>
      <c r="F7" s="31"/>
      <c r="G7" t="s">
        <v>361</v>
      </c>
      <c r="H7" s="263"/>
      <c r="I7" s="267"/>
    </row>
    <row r="8" spans="2:10" ht="81.95" customHeight="1">
      <c r="B8" s="263" t="s">
        <v>362</v>
      </c>
      <c r="C8" s="268" t="s">
        <v>363</v>
      </c>
      <c r="D8" s="268" t="s">
        <v>363</v>
      </c>
      <c r="E8" s="36"/>
      <c r="G8" s="506" t="s">
        <v>364</v>
      </c>
      <c r="H8" s="506"/>
      <c r="I8" s="506"/>
      <c r="J8" s="506"/>
    </row>
    <row r="9" spans="2:10">
      <c r="B9" t="s">
        <v>365</v>
      </c>
      <c r="C9" s="240" t="s">
        <v>366</v>
      </c>
      <c r="D9" s="239" t="s">
        <v>366</v>
      </c>
      <c r="E9" s="31" t="str">
        <f>IF(Table8[[#This Row],[THIS PERIOD]]="N/A","",(Table8[[#This Row],[THIS PERIOD]]-D9)/D9)</f>
        <v/>
      </c>
      <c r="F9" s="31"/>
    </row>
    <row r="10" spans="2:10">
      <c r="B10" t="s">
        <v>70</v>
      </c>
      <c r="C10" s="239">
        <f>3032804.23-35000</f>
        <v>2997804.23</v>
      </c>
      <c r="D10" s="239">
        <v>2344355.7000000002</v>
      </c>
      <c r="E10" s="31">
        <f>IF(Table8[[#This Row],[THIS PERIOD]]="N/A","",(Table8[[#This Row],[THIS PERIOD]]-D10)/D10)</f>
        <v>0.27873267269126428</v>
      </c>
      <c r="F10" s="31"/>
    </row>
    <row r="11" spans="2:10">
      <c r="B11" t="s">
        <v>367</v>
      </c>
      <c r="C11" s="239">
        <v>400000</v>
      </c>
      <c r="D11" s="35"/>
      <c r="E11" s="36"/>
      <c r="F11" s="31"/>
      <c r="H11" s="21"/>
      <c r="I11" s="21"/>
      <c r="J11" s="21"/>
    </row>
    <row r="12" spans="2:10">
      <c r="B12" t="s">
        <v>71</v>
      </c>
      <c r="C12" s="239">
        <v>2683097.46</v>
      </c>
      <c r="D12" s="239">
        <v>1960036.58</v>
      </c>
      <c r="E12" s="31">
        <f>IF(Table8[[#This Row],[THIS PERIOD]]="N/A","",(Table8[[#This Row],[THIS PERIOD]]-D12)/D12)</f>
        <v>0.36890172733408877</v>
      </c>
      <c r="F12" s="31"/>
      <c r="H12" s="14"/>
      <c r="I12" s="28"/>
      <c r="J12" s="28"/>
    </row>
    <row r="13" spans="2:10">
      <c r="B13" t="s">
        <v>73</v>
      </c>
      <c r="C13" s="239">
        <v>6433863.0199999996</v>
      </c>
      <c r="D13" s="239">
        <v>6669957.2999999998</v>
      </c>
      <c r="E13" s="31">
        <f>IF(Table8[[#This Row],[THIS PERIOD]]="N/A","",(Table8[[#This Row],[THIS PERIOD]]-D13)/D13)</f>
        <v>-3.5396670380483587E-2</v>
      </c>
      <c r="F13" s="31"/>
      <c r="H13" s="23"/>
      <c r="I13" s="28"/>
      <c r="J13" s="28"/>
    </row>
    <row r="14" spans="2:10">
      <c r="B14" t="s">
        <v>75</v>
      </c>
      <c r="C14" s="239">
        <v>127441.56</v>
      </c>
      <c r="D14" s="239">
        <v>97614.85</v>
      </c>
      <c r="E14" s="31">
        <f>IF(Table8[[#This Row],[THIS PERIOD]]="N/A","",(Table8[[#This Row],[THIS PERIOD]]-D14)/D14)</f>
        <v>0.30555504618405899</v>
      </c>
      <c r="F14" s="31"/>
      <c r="H14" s="14"/>
      <c r="I14" s="28"/>
      <c r="J14" s="28"/>
    </row>
    <row r="15" spans="2:10">
      <c r="B15" s="190" t="s">
        <v>76</v>
      </c>
      <c r="C15" s="239">
        <v>6786492.2599999998</v>
      </c>
      <c r="D15" s="239">
        <v>6717008.1799999997</v>
      </c>
      <c r="E15" s="31">
        <f>IF(Table8[[#This Row],[THIS PERIOD]]="N/A","",(Table8[[#This Row],[THIS PERIOD]]-D15)/D15)</f>
        <v>1.0344498344797323E-2</v>
      </c>
      <c r="F15" s="31"/>
      <c r="H15" s="14"/>
      <c r="I15" s="28"/>
      <c r="J15" s="28"/>
    </row>
    <row r="16" spans="2:10">
      <c r="B16" s="190"/>
      <c r="C16" s="239"/>
      <c r="D16" s="28"/>
      <c r="E16" s="31"/>
      <c r="F16" s="31"/>
      <c r="H16" s="14"/>
      <c r="I16" s="28"/>
      <c r="J16" s="28"/>
    </row>
    <row r="17" spans="2:11">
      <c r="B17" s="190"/>
      <c r="C17" s="239"/>
      <c r="D17" s="28"/>
      <c r="E17" s="31"/>
      <c r="F17" s="31"/>
      <c r="H17" s="14"/>
      <c r="I17" s="28"/>
      <c r="J17" s="28"/>
    </row>
    <row r="18" spans="2:11" ht="17.100000000000001">
      <c r="B18" s="21" t="s">
        <v>219</v>
      </c>
      <c r="C18" s="21" t="s">
        <v>368</v>
      </c>
      <c r="D18" s="21" t="s">
        <v>369</v>
      </c>
      <c r="E18" s="21" t="s">
        <v>370</v>
      </c>
      <c r="F18" s="21" t="s">
        <v>196</v>
      </c>
      <c r="H18" s="251" t="s">
        <v>371</v>
      </c>
      <c r="I18" s="251" t="s">
        <v>372</v>
      </c>
      <c r="J18" s="569" t="s">
        <v>373</v>
      </c>
      <c r="K18" s="569"/>
    </row>
    <row r="19" spans="2:11">
      <c r="B19" s="23" t="s">
        <v>374</v>
      </c>
      <c r="C19" s="239">
        <v>299746.96999999997</v>
      </c>
      <c r="D19" s="239">
        <v>89149.77</v>
      </c>
      <c r="E19" s="239">
        <v>15000</v>
      </c>
      <c r="F19" s="184" t="s">
        <v>375</v>
      </c>
      <c r="H19" s="19" t="s">
        <v>376</v>
      </c>
      <c r="I19" s="19" t="s">
        <v>377</v>
      </c>
      <c r="J19" s="570" t="s">
        <v>378</v>
      </c>
      <c r="K19" s="570"/>
    </row>
    <row r="20" spans="2:11">
      <c r="B20" s="23" t="s">
        <v>379</v>
      </c>
      <c r="C20" s="239">
        <v>850018.69</v>
      </c>
      <c r="D20" s="239">
        <v>323265.39</v>
      </c>
      <c r="E20" s="239">
        <v>20000</v>
      </c>
      <c r="F20" s="184" t="s">
        <v>188</v>
      </c>
      <c r="H20" s="19" t="s">
        <v>380</v>
      </c>
      <c r="I20" s="19" t="s">
        <v>381</v>
      </c>
      <c r="J20" s="570" t="s">
        <v>382</v>
      </c>
      <c r="K20" s="570"/>
    </row>
    <row r="21" spans="2:11">
      <c r="B21" s="14"/>
      <c r="C21" s="28"/>
      <c r="D21" s="28"/>
      <c r="E21" s="28"/>
      <c r="F21" s="28"/>
      <c r="H21" s="19" t="s">
        <v>383</v>
      </c>
      <c r="I21" s="19" t="s">
        <v>375</v>
      </c>
      <c r="J21" s="570" t="s">
        <v>384</v>
      </c>
      <c r="K21" s="570"/>
    </row>
    <row r="24" spans="2:11" ht="51">
      <c r="B24" s="21" t="s">
        <v>218</v>
      </c>
      <c r="C24" s="21" t="s">
        <v>219</v>
      </c>
      <c r="D24" s="21" t="s">
        <v>385</v>
      </c>
      <c r="E24" s="21" t="s">
        <v>386</v>
      </c>
      <c r="F24" s="21" t="s">
        <v>387</v>
      </c>
      <c r="H24" s="21" t="s">
        <v>218</v>
      </c>
      <c r="I24" s="21" t="s">
        <v>219</v>
      </c>
      <c r="J24" s="21" t="s">
        <v>388</v>
      </c>
    </row>
    <row r="25" spans="2:11">
      <c r="B25" s="24" t="s">
        <v>227</v>
      </c>
      <c r="C25" s="229">
        <v>45962</v>
      </c>
      <c r="D25" s="241">
        <v>45603</v>
      </c>
      <c r="E25" s="241">
        <v>45610</v>
      </c>
      <c r="F25" s="311">
        <f>IF(Table11012[[#This Row],[INVOICE PAID]]&gt;0,Table11012[[#This Row],[INVOICE PAID]]-Table11012[[#This Row],[INVOICE SENT]],"")</f>
        <v>7</v>
      </c>
      <c r="H25" s="24" t="s">
        <v>227</v>
      </c>
      <c r="I25" s="229">
        <v>45658</v>
      </c>
      <c r="J25" s="217">
        <v>12</v>
      </c>
    </row>
    <row r="26" spans="2:11">
      <c r="B26" s="24" t="s">
        <v>229</v>
      </c>
      <c r="C26" s="23">
        <f t="shared" ref="C26:C54" si="0">EOMONTH(C25,0)+1</f>
        <v>45992</v>
      </c>
      <c r="D26" s="241">
        <v>45616</v>
      </c>
      <c r="E26" s="241">
        <v>45628</v>
      </c>
      <c r="F26" s="311">
        <f>IF(Table11012[[#This Row],[INVOICE PAID]]&gt;0,Table11012[[#This Row],[INVOICE PAID]]-Table11012[[#This Row],[INVOICE SENT]],"")</f>
        <v>12</v>
      </c>
      <c r="H26" s="24" t="s">
        <v>229</v>
      </c>
      <c r="I26" s="23">
        <f>EOMONTH(I25,0)+1</f>
        <v>45689</v>
      </c>
      <c r="J26" s="217">
        <v>18</v>
      </c>
    </row>
    <row r="27" spans="2:11">
      <c r="B27" s="24" t="s">
        <v>230</v>
      </c>
      <c r="C27" s="23">
        <f t="shared" si="0"/>
        <v>46023</v>
      </c>
      <c r="D27" s="241">
        <v>45646</v>
      </c>
      <c r="E27" s="241">
        <v>45657</v>
      </c>
      <c r="F27" s="311">
        <f>IF(Table11012[[#This Row],[INVOICE PAID]]&gt;0,Table11012[[#This Row],[INVOICE PAID]]-Table11012[[#This Row],[INVOICE SENT]],"")</f>
        <v>11</v>
      </c>
      <c r="H27" s="24" t="s">
        <v>230</v>
      </c>
      <c r="I27" s="23">
        <f t="shared" ref="I27:I54" si="1">EOMONTH(I26,0)+1</f>
        <v>45717</v>
      </c>
      <c r="J27" s="217">
        <v>18</v>
      </c>
    </row>
    <row r="28" spans="2:11">
      <c r="B28" s="24" t="s">
        <v>231</v>
      </c>
      <c r="C28" s="23">
        <f t="shared" si="0"/>
        <v>46054</v>
      </c>
      <c r="D28" s="241">
        <v>45688</v>
      </c>
      <c r="E28" s="241">
        <v>45688</v>
      </c>
      <c r="F28" s="311">
        <f>IF(Table11012[[#This Row],[INVOICE PAID]]&gt;0,Table11012[[#This Row],[INVOICE PAID]]-Table11012[[#This Row],[INVOICE SENT]],"")</f>
        <v>0</v>
      </c>
      <c r="H28" s="24" t="s">
        <v>231</v>
      </c>
      <c r="I28" s="23">
        <f t="shared" si="1"/>
        <v>45748</v>
      </c>
      <c r="J28" s="217">
        <v>21</v>
      </c>
    </row>
    <row r="29" spans="2:11">
      <c r="B29" s="24" t="s">
        <v>232</v>
      </c>
      <c r="C29" s="23">
        <f t="shared" si="0"/>
        <v>46082</v>
      </c>
      <c r="D29" s="241">
        <v>45719</v>
      </c>
      <c r="E29" s="241">
        <v>45722</v>
      </c>
      <c r="F29" s="311">
        <f>IF(Table11012[[#This Row],[INVOICE PAID]]&gt;0,Table11012[[#This Row],[INVOICE PAID]]-Table11012[[#This Row],[INVOICE SENT]],"")</f>
        <v>3</v>
      </c>
      <c r="H29" s="24" t="s">
        <v>232</v>
      </c>
      <c r="I29" s="23">
        <f t="shared" si="1"/>
        <v>45778</v>
      </c>
      <c r="J29" s="217">
        <v>43.5</v>
      </c>
    </row>
    <row r="30" spans="2:11">
      <c r="B30" s="24" t="s">
        <v>233</v>
      </c>
      <c r="C30" s="23">
        <f t="shared" si="0"/>
        <v>46113</v>
      </c>
      <c r="D30" s="241">
        <v>45719</v>
      </c>
      <c r="E30" s="241">
        <v>45723</v>
      </c>
      <c r="F30" s="311">
        <f>IF(Table11012[[#This Row],[INVOICE PAID]]&gt;0,Table11012[[#This Row],[INVOICE PAID]]-Table11012[[#This Row],[INVOICE SENT]],"")</f>
        <v>4</v>
      </c>
      <c r="H30" s="24" t="s">
        <v>233</v>
      </c>
      <c r="I30" s="23">
        <f t="shared" si="1"/>
        <v>45809</v>
      </c>
      <c r="J30" s="217"/>
    </row>
    <row r="31" spans="2:11">
      <c r="B31" s="24" t="s">
        <v>234</v>
      </c>
      <c r="C31" s="23">
        <f t="shared" si="0"/>
        <v>46143</v>
      </c>
      <c r="D31" s="241">
        <v>45741</v>
      </c>
      <c r="E31" s="241">
        <v>45749</v>
      </c>
      <c r="F31" s="311">
        <f>IF(Table11012[[#This Row],[INVOICE PAID]]&gt;0,Table11012[[#This Row],[INVOICE PAID]]-Table11012[[#This Row],[INVOICE SENT]],"")</f>
        <v>8</v>
      </c>
      <c r="H31" s="24" t="s">
        <v>234</v>
      </c>
      <c r="I31" s="23">
        <f t="shared" si="1"/>
        <v>45839</v>
      </c>
      <c r="J31" s="217"/>
    </row>
    <row r="32" spans="2:11">
      <c r="B32" s="24" t="s">
        <v>235</v>
      </c>
      <c r="C32" s="23">
        <f t="shared" si="0"/>
        <v>46174</v>
      </c>
      <c r="D32" s="241">
        <v>45741</v>
      </c>
      <c r="E32" s="241">
        <v>45763</v>
      </c>
      <c r="F32" s="311">
        <f>IF(Table11012[[#This Row],[INVOICE PAID]]&gt;0,Table11012[[#This Row],[INVOICE PAID]]-Table11012[[#This Row],[INVOICE SENT]],"")</f>
        <v>22</v>
      </c>
      <c r="H32" s="24" t="s">
        <v>235</v>
      </c>
      <c r="I32" s="23">
        <f t="shared" si="1"/>
        <v>45870</v>
      </c>
      <c r="J32" s="217"/>
    </row>
    <row r="33" spans="2:10">
      <c r="B33" s="24" t="s">
        <v>236</v>
      </c>
      <c r="C33" s="23">
        <f t="shared" si="0"/>
        <v>46204</v>
      </c>
      <c r="D33" s="241">
        <v>45772</v>
      </c>
      <c r="E33" s="241">
        <v>45779</v>
      </c>
      <c r="F33" s="311">
        <f>IF(Table11012[[#This Row],[INVOICE PAID]]&gt;0,Table11012[[#This Row],[INVOICE PAID]]-Table11012[[#This Row],[INVOICE SENT]],"")</f>
        <v>7</v>
      </c>
      <c r="H33" s="24" t="s">
        <v>236</v>
      </c>
      <c r="I33" s="23">
        <f t="shared" si="1"/>
        <v>45901</v>
      </c>
      <c r="J33" s="217"/>
    </row>
    <row r="34" spans="2:10">
      <c r="B34" s="24" t="s">
        <v>237</v>
      </c>
      <c r="C34" s="23">
        <f t="shared" si="0"/>
        <v>46235</v>
      </c>
      <c r="D34" s="241">
        <v>45772</v>
      </c>
      <c r="E34" s="241">
        <v>45790</v>
      </c>
      <c r="F34" s="311">
        <f>IF(Table11012[[#This Row],[INVOICE PAID]]&gt;0,Table11012[[#This Row],[INVOICE PAID]]-Table11012[[#This Row],[INVOICE SENT]],"")</f>
        <v>18</v>
      </c>
      <c r="H34" s="24" t="s">
        <v>237</v>
      </c>
      <c r="I34" s="23">
        <f t="shared" si="1"/>
        <v>45931</v>
      </c>
      <c r="J34" s="217"/>
    </row>
    <row r="35" spans="2:10">
      <c r="B35" s="24" t="s">
        <v>238</v>
      </c>
      <c r="C35" s="23">
        <f t="shared" si="0"/>
        <v>46266</v>
      </c>
      <c r="D35" s="241">
        <v>45806</v>
      </c>
      <c r="E35" s="241">
        <v>45811</v>
      </c>
      <c r="F35" s="311">
        <f>IF(Table11012[[#This Row],[INVOICE PAID]]&gt;0,Table11012[[#This Row],[INVOICE PAID]]-Table11012[[#This Row],[INVOICE SENT]],"")</f>
        <v>5</v>
      </c>
      <c r="H35" s="24" t="s">
        <v>238</v>
      </c>
      <c r="I35" s="23">
        <f t="shared" si="1"/>
        <v>45962</v>
      </c>
      <c r="J35" s="217"/>
    </row>
    <row r="36" spans="2:10">
      <c r="B36" s="24" t="s">
        <v>239</v>
      </c>
      <c r="C36" s="23">
        <f t="shared" si="0"/>
        <v>46296</v>
      </c>
      <c r="D36" s="241"/>
      <c r="E36" s="241"/>
      <c r="F36" s="311" t="str">
        <f>IF(Table11012[[#This Row],[INVOICE PAID]]&gt;0,Table11012[[#This Row],[INVOICE PAID]]-Table11012[[#This Row],[INVOICE SENT]],"")</f>
        <v/>
      </c>
      <c r="H36" s="24" t="s">
        <v>239</v>
      </c>
      <c r="I36" s="23">
        <f t="shared" si="1"/>
        <v>45992</v>
      </c>
      <c r="J36" s="217"/>
    </row>
    <row r="37" spans="2:10">
      <c r="B37" s="24" t="s">
        <v>240</v>
      </c>
      <c r="C37" s="23">
        <f t="shared" si="0"/>
        <v>46327</v>
      </c>
      <c r="D37" s="241"/>
      <c r="E37" s="241"/>
      <c r="F37" s="311" t="str">
        <f>IF(Table11012[[#This Row],[INVOICE PAID]]&gt;0,Table11012[[#This Row],[INVOICE PAID]]-Table11012[[#This Row],[INVOICE SENT]],"")</f>
        <v/>
      </c>
      <c r="H37" s="24" t="s">
        <v>240</v>
      </c>
      <c r="I37" s="23">
        <f t="shared" si="1"/>
        <v>46023</v>
      </c>
      <c r="J37" s="217"/>
    </row>
    <row r="38" spans="2:10">
      <c r="B38" s="24" t="s">
        <v>241</v>
      </c>
      <c r="C38" s="23">
        <f t="shared" si="0"/>
        <v>46357</v>
      </c>
      <c r="D38" s="241"/>
      <c r="E38" s="241"/>
      <c r="F38" s="311" t="str">
        <f>IF(Table11012[[#This Row],[INVOICE PAID]]&gt;0,Table11012[[#This Row],[INVOICE PAID]]-Table11012[[#This Row],[INVOICE SENT]],"")</f>
        <v/>
      </c>
      <c r="H38" s="24" t="s">
        <v>241</v>
      </c>
      <c r="I38" s="23">
        <f t="shared" si="1"/>
        <v>46054</v>
      </c>
      <c r="J38" s="217"/>
    </row>
    <row r="39" spans="2:10">
      <c r="B39" s="24" t="s">
        <v>242</v>
      </c>
      <c r="C39" s="23">
        <f t="shared" si="0"/>
        <v>46388</v>
      </c>
      <c r="D39" s="241"/>
      <c r="E39" s="241"/>
      <c r="F39" s="311" t="str">
        <f>IF(Table11012[[#This Row],[INVOICE PAID]]&gt;0,Table11012[[#This Row],[INVOICE PAID]]-Table11012[[#This Row],[INVOICE SENT]],"")</f>
        <v/>
      </c>
      <c r="H39" s="24" t="s">
        <v>242</v>
      </c>
      <c r="I39" s="23">
        <f t="shared" si="1"/>
        <v>46082</v>
      </c>
      <c r="J39" s="217"/>
    </row>
    <row r="40" spans="2:10">
      <c r="B40" s="24" t="s">
        <v>243</v>
      </c>
      <c r="C40" s="23">
        <f t="shared" si="0"/>
        <v>46419</v>
      </c>
      <c r="D40" s="241"/>
      <c r="E40" s="241"/>
      <c r="F40" s="311" t="str">
        <f>IF(Table11012[[#This Row],[INVOICE PAID]]&gt;0,Table11012[[#This Row],[INVOICE PAID]]-Table11012[[#This Row],[INVOICE SENT]],"")</f>
        <v/>
      </c>
      <c r="H40" s="24" t="s">
        <v>243</v>
      </c>
      <c r="I40" s="23">
        <f t="shared" si="1"/>
        <v>46113</v>
      </c>
      <c r="J40" s="217"/>
    </row>
    <row r="41" spans="2:10">
      <c r="B41" s="24" t="s">
        <v>244</v>
      </c>
      <c r="C41" s="23">
        <f t="shared" si="0"/>
        <v>46447</v>
      </c>
      <c r="D41" s="241"/>
      <c r="E41" s="241"/>
      <c r="F41" s="311" t="str">
        <f>IF(Table11012[[#This Row],[INVOICE PAID]]&gt;0,Table11012[[#This Row],[INVOICE PAID]]-Table11012[[#This Row],[INVOICE SENT]],"")</f>
        <v/>
      </c>
      <c r="H41" s="24" t="s">
        <v>244</v>
      </c>
      <c r="I41" s="23">
        <f t="shared" si="1"/>
        <v>46143</v>
      </c>
      <c r="J41" s="217"/>
    </row>
    <row r="42" spans="2:10">
      <c r="B42" s="24" t="s">
        <v>245</v>
      </c>
      <c r="C42" s="23">
        <f t="shared" si="0"/>
        <v>46478</v>
      </c>
      <c r="D42" s="241"/>
      <c r="E42" s="241"/>
      <c r="F42" s="311" t="str">
        <f>IF(Table11012[[#This Row],[INVOICE PAID]]&gt;0,Table11012[[#This Row],[INVOICE PAID]]-Table11012[[#This Row],[INVOICE SENT]],"")</f>
        <v/>
      </c>
      <c r="H42" s="24" t="s">
        <v>245</v>
      </c>
      <c r="I42" s="23">
        <f t="shared" si="1"/>
        <v>46174</v>
      </c>
      <c r="J42" s="217"/>
    </row>
    <row r="43" spans="2:10">
      <c r="B43" s="24" t="s">
        <v>246</v>
      </c>
      <c r="C43" s="23">
        <f t="shared" si="0"/>
        <v>46508</v>
      </c>
      <c r="D43" s="241"/>
      <c r="E43" s="241"/>
      <c r="F43" s="311" t="str">
        <f>IF(Table11012[[#This Row],[INVOICE PAID]]&gt;0,Table11012[[#This Row],[INVOICE PAID]]-Table11012[[#This Row],[INVOICE SENT]],"")</f>
        <v/>
      </c>
      <c r="H43" s="24" t="s">
        <v>246</v>
      </c>
      <c r="I43" s="23">
        <f t="shared" si="1"/>
        <v>46204</v>
      </c>
      <c r="J43" s="217"/>
    </row>
    <row r="44" spans="2:10">
      <c r="B44" s="24" t="s">
        <v>247</v>
      </c>
      <c r="C44" s="23">
        <f t="shared" si="0"/>
        <v>46539</v>
      </c>
      <c r="D44" s="241"/>
      <c r="E44" s="241"/>
      <c r="F44" s="311" t="str">
        <f>IF(Table11012[[#This Row],[INVOICE PAID]]&gt;0,Table11012[[#This Row],[INVOICE PAID]]-Table11012[[#This Row],[INVOICE SENT]],"")</f>
        <v/>
      </c>
      <c r="H44" s="24" t="s">
        <v>247</v>
      </c>
      <c r="I44" s="23">
        <f t="shared" si="1"/>
        <v>46235</v>
      </c>
      <c r="J44" s="217"/>
    </row>
    <row r="45" spans="2:10">
      <c r="B45" s="24" t="s">
        <v>248</v>
      </c>
      <c r="C45" s="23">
        <f t="shared" si="0"/>
        <v>46569</v>
      </c>
      <c r="D45" s="241"/>
      <c r="E45" s="241"/>
      <c r="F45" s="311" t="str">
        <f>IF(Table11012[[#This Row],[INVOICE PAID]]&gt;0,Table11012[[#This Row],[INVOICE PAID]]-Table11012[[#This Row],[INVOICE SENT]],"")</f>
        <v/>
      </c>
      <c r="H45" s="24" t="s">
        <v>248</v>
      </c>
      <c r="I45" s="23">
        <f t="shared" si="1"/>
        <v>46266</v>
      </c>
      <c r="J45" s="217"/>
    </row>
    <row r="46" spans="2:10">
      <c r="B46" s="24" t="s">
        <v>249</v>
      </c>
      <c r="C46" s="23">
        <f t="shared" si="0"/>
        <v>46600</v>
      </c>
      <c r="D46" s="241"/>
      <c r="E46" s="241"/>
      <c r="F46" s="311" t="str">
        <f>IF(Table11012[[#This Row],[INVOICE PAID]]&gt;0,Table11012[[#This Row],[INVOICE PAID]]-Table11012[[#This Row],[INVOICE SENT]],"")</f>
        <v/>
      </c>
      <c r="H46" s="24" t="s">
        <v>249</v>
      </c>
      <c r="I46" s="23">
        <f t="shared" si="1"/>
        <v>46296</v>
      </c>
      <c r="J46" s="217"/>
    </row>
    <row r="47" spans="2:10">
      <c r="B47" s="24" t="s">
        <v>250</v>
      </c>
      <c r="C47" s="23">
        <f t="shared" si="0"/>
        <v>46631</v>
      </c>
      <c r="D47" s="241"/>
      <c r="E47" s="241"/>
      <c r="F47" s="311" t="str">
        <f>IF(Table11012[[#This Row],[INVOICE PAID]]&gt;0,Table11012[[#This Row],[INVOICE PAID]]-Table11012[[#This Row],[INVOICE SENT]],"")</f>
        <v/>
      </c>
      <c r="H47" s="24" t="s">
        <v>250</v>
      </c>
      <c r="I47" s="23">
        <f t="shared" si="1"/>
        <v>46327</v>
      </c>
      <c r="J47" s="217"/>
    </row>
    <row r="48" spans="2:10">
      <c r="B48" s="24" t="s">
        <v>251</v>
      </c>
      <c r="C48" s="23">
        <f t="shared" si="0"/>
        <v>46661</v>
      </c>
      <c r="D48" s="241"/>
      <c r="E48" s="241"/>
      <c r="F48" s="311" t="str">
        <f>IF(Table11012[[#This Row],[INVOICE PAID]]&gt;0,Table11012[[#This Row],[INVOICE PAID]]-Table11012[[#This Row],[INVOICE SENT]],"")</f>
        <v/>
      </c>
      <c r="H48" s="24" t="s">
        <v>251</v>
      </c>
      <c r="I48" s="23">
        <f t="shared" si="1"/>
        <v>46357</v>
      </c>
      <c r="J48" s="217"/>
    </row>
    <row r="49" spans="2:10">
      <c r="B49" s="24" t="s">
        <v>252</v>
      </c>
      <c r="C49" s="23">
        <f t="shared" si="0"/>
        <v>46692</v>
      </c>
      <c r="D49" s="241"/>
      <c r="E49" s="241"/>
      <c r="F49" s="311" t="str">
        <f>IF(Table11012[[#This Row],[INVOICE PAID]]&gt;0,Table11012[[#This Row],[INVOICE PAID]]-Table11012[[#This Row],[INVOICE SENT]],"")</f>
        <v/>
      </c>
      <c r="H49" s="24" t="s">
        <v>252</v>
      </c>
      <c r="I49" s="23">
        <f t="shared" si="1"/>
        <v>46388</v>
      </c>
      <c r="J49" s="217"/>
    </row>
    <row r="50" spans="2:10">
      <c r="B50" s="24" t="s">
        <v>254</v>
      </c>
      <c r="C50" s="23">
        <f t="shared" si="0"/>
        <v>46722</v>
      </c>
      <c r="D50" s="241"/>
      <c r="E50" s="241"/>
      <c r="F50" s="311" t="str">
        <f>IF(Table11012[[#This Row],[INVOICE PAID]]&gt;0,Table11012[[#This Row],[INVOICE PAID]]-Table11012[[#This Row],[INVOICE SENT]],"")</f>
        <v/>
      </c>
      <c r="H50" s="24" t="s">
        <v>254</v>
      </c>
      <c r="I50" s="23">
        <f t="shared" si="1"/>
        <v>46419</v>
      </c>
      <c r="J50" s="217"/>
    </row>
    <row r="51" spans="2:10">
      <c r="B51" s="24" t="s">
        <v>255</v>
      </c>
      <c r="C51" s="23">
        <f t="shared" si="0"/>
        <v>46753</v>
      </c>
      <c r="D51" s="241"/>
      <c r="E51" s="241"/>
      <c r="F51" s="311" t="str">
        <f>IF(Table11012[[#This Row],[INVOICE PAID]]&gt;0,Table11012[[#This Row],[INVOICE PAID]]-Table11012[[#This Row],[INVOICE SENT]],"")</f>
        <v/>
      </c>
      <c r="H51" s="24" t="s">
        <v>255</v>
      </c>
      <c r="I51" s="23">
        <f t="shared" si="1"/>
        <v>46447</v>
      </c>
      <c r="J51" s="217"/>
    </row>
    <row r="52" spans="2:10">
      <c r="B52" s="24" t="s">
        <v>256</v>
      </c>
      <c r="C52" s="23">
        <f t="shared" si="0"/>
        <v>46784</v>
      </c>
      <c r="D52" s="241"/>
      <c r="E52" s="241"/>
      <c r="F52" s="311" t="str">
        <f>IF(Table11012[[#This Row],[INVOICE PAID]]&gt;0,Table11012[[#This Row],[INVOICE PAID]]-Table11012[[#This Row],[INVOICE SENT]],"")</f>
        <v/>
      </c>
      <c r="H52" s="24" t="s">
        <v>256</v>
      </c>
      <c r="I52" s="23">
        <f t="shared" si="1"/>
        <v>46478</v>
      </c>
      <c r="J52" s="217"/>
    </row>
    <row r="53" spans="2:10">
      <c r="B53" s="24" t="s">
        <v>257</v>
      </c>
      <c r="C53" s="23">
        <f t="shared" si="0"/>
        <v>46813</v>
      </c>
      <c r="D53" s="241"/>
      <c r="E53" s="241"/>
      <c r="F53" s="311" t="str">
        <f>IF(Table11012[[#This Row],[INVOICE PAID]]&gt;0,Table11012[[#This Row],[INVOICE PAID]]-Table11012[[#This Row],[INVOICE SENT]],"")</f>
        <v/>
      </c>
      <c r="H53" s="24" t="s">
        <v>257</v>
      </c>
      <c r="I53" s="23">
        <f t="shared" si="1"/>
        <v>46508</v>
      </c>
      <c r="J53" s="217"/>
    </row>
    <row r="54" spans="2:10">
      <c r="B54" s="24" t="s">
        <v>258</v>
      </c>
      <c r="C54" s="23">
        <f t="shared" si="0"/>
        <v>46844</v>
      </c>
      <c r="D54" s="241"/>
      <c r="E54" s="241"/>
      <c r="F54" s="311" t="str">
        <f>IF(Table11012[[#This Row],[INVOICE PAID]]&gt;0,Table11012[[#This Row],[INVOICE PAID]]-Table11012[[#This Row],[INVOICE SENT]],"")</f>
        <v/>
      </c>
      <c r="H54" s="24" t="s">
        <v>258</v>
      </c>
      <c r="I54" s="23">
        <f t="shared" si="1"/>
        <v>46539</v>
      </c>
      <c r="J54" s="217"/>
    </row>
    <row r="55" spans="2:10">
      <c r="B55" s="24"/>
      <c r="C55" s="229"/>
      <c r="D55" s="241"/>
      <c r="E55" s="241"/>
      <c r="F55" s="242" t="str">
        <f>IF(Table11012[[#This Row],[INVOICE PAID]]&gt;0,Table11012[[#This Row],[INVOICE PAID]]-Table11012[[#This Row],[INVOICE SENT]],"")</f>
        <v/>
      </c>
      <c r="I55" s="229"/>
      <c r="J55" s="217"/>
    </row>
    <row r="56" spans="2:10">
      <c r="B56" s="22" t="s">
        <v>259</v>
      </c>
      <c r="C56" s="23"/>
      <c r="D56" s="26"/>
      <c r="E56" s="26"/>
      <c r="F56" s="186">
        <f>AVERAGE(F25:F55)</f>
        <v>8.8181818181818183</v>
      </c>
      <c r="H56" s="22" t="s">
        <v>259</v>
      </c>
      <c r="I56" s="25"/>
      <c r="J56" s="27">
        <f>SUM(J25:J55)</f>
        <v>112.5</v>
      </c>
    </row>
    <row r="57" spans="2:10" ht="27" customHeight="1">
      <c r="B57" s="504" t="s">
        <v>389</v>
      </c>
      <c r="C57" s="504"/>
      <c r="D57" s="504"/>
      <c r="E57" s="504"/>
      <c r="F57" s="243">
        <v>1</v>
      </c>
    </row>
    <row r="58" spans="2:10">
      <c r="C58" s="32"/>
    </row>
    <row r="59" spans="2:10">
      <c r="B59" s="503" t="s">
        <v>390</v>
      </c>
      <c r="C59" s="503"/>
      <c r="D59" s="503"/>
      <c r="E59" s="503"/>
    </row>
    <row r="60" spans="2:10">
      <c r="B60" s="570" t="s">
        <v>391</v>
      </c>
      <c r="C60" s="570"/>
      <c r="D60" s="571">
        <v>200000000</v>
      </c>
      <c r="E60" s="571"/>
    </row>
    <row r="61" spans="2:10" ht="15.95" customHeight="1">
      <c r="B61" s="570" t="s">
        <v>392</v>
      </c>
      <c r="C61" s="570"/>
      <c r="D61" s="571">
        <v>190000001</v>
      </c>
      <c r="E61" s="571"/>
    </row>
    <row r="62" spans="2:10" ht="18.95">
      <c r="B62" s="505" t="s">
        <v>393</v>
      </c>
      <c r="C62" s="505"/>
      <c r="D62" s="572">
        <f>D61/D60</f>
        <v>0.95000000500000004</v>
      </c>
      <c r="E62" s="572"/>
    </row>
    <row r="63" spans="2:10" ht="15.95" customHeight="1">
      <c r="C63" s="32"/>
    </row>
    <row r="64" spans="2:10">
      <c r="B64" s="503" t="s">
        <v>394</v>
      </c>
      <c r="C64" s="503"/>
      <c r="D64" s="503"/>
      <c r="E64" s="503"/>
    </row>
    <row r="65" spans="2:5" ht="15.95" customHeight="1">
      <c r="B65" s="502" t="s">
        <v>84</v>
      </c>
      <c r="C65" s="502"/>
      <c r="D65" s="502"/>
      <c r="E65" s="244" t="s">
        <v>395</v>
      </c>
    </row>
    <row r="66" spans="2:5" ht="15.95" customHeight="1">
      <c r="B66" s="502" t="s">
        <v>85</v>
      </c>
      <c r="C66" s="502"/>
      <c r="D66" s="502"/>
      <c r="E66" s="244" t="s">
        <v>154</v>
      </c>
    </row>
    <row r="67" spans="2:5" ht="15.95" customHeight="1">
      <c r="B67" s="502" t="s">
        <v>396</v>
      </c>
      <c r="C67" s="502"/>
      <c r="D67" s="502"/>
      <c r="E67" s="244" t="s">
        <v>154</v>
      </c>
    </row>
    <row r="68" spans="2:5">
      <c r="C68" s="32"/>
    </row>
    <row r="73" spans="2:5">
      <c r="C73" s="22"/>
      <c r="D73" s="22"/>
      <c r="E73" s="22"/>
    </row>
  </sheetData>
  <mergeCells count="17">
    <mergeCell ref="J20:K20"/>
    <mergeCell ref="J21:K21"/>
    <mergeCell ref="B65:D65"/>
    <mergeCell ref="G8:J8"/>
    <mergeCell ref="B66:D66"/>
    <mergeCell ref="J18:K18"/>
    <mergeCell ref="J19:K19"/>
    <mergeCell ref="B67:D67"/>
    <mergeCell ref="B64:E64"/>
    <mergeCell ref="B57:E57"/>
    <mergeCell ref="B60:C60"/>
    <mergeCell ref="B61:C61"/>
    <mergeCell ref="D60:E60"/>
    <mergeCell ref="D61:E61"/>
    <mergeCell ref="D62:E62"/>
    <mergeCell ref="B62:C62"/>
    <mergeCell ref="B59:E59"/>
  </mergeCells>
  <phoneticPr fontId="20" type="noConversion"/>
  <pageMargins left="0.7" right="0.7" top="0.75" bottom="0.75" header="0.3" footer="0.3"/>
  <pageSetup paperSize="17" scale="70" orientation="landscape" verticalDpi="0" r:id="rId1"/>
  <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4">
        <x14:dataValidation type="list" allowBlank="1" showInputMessage="1" showErrorMessage="1" xr:uid="{60BDB3DB-32BE-9F40-813E-36137D9E009F}">
          <x14:formula1>
            <xm:f>DROPDOWN!$N$4:$N$19</xm:f>
          </x14:formula1>
          <xm:sqref>F19:F20</xm:sqref>
        </x14:dataValidation>
        <x14:dataValidation type="list" allowBlank="1" showInputMessage="1" showErrorMessage="1" xr:uid="{6F9EE4AD-171D-5E45-A288-9489BA164980}">
          <x14:formula1>
            <xm:f>DROPDOWN!$O$4:$O$19</xm:f>
          </x14:formula1>
          <xm:sqref>E65:E67</xm:sqref>
        </x14:dataValidation>
        <x14:dataValidation type="list" allowBlank="1" showInputMessage="1" showErrorMessage="1" xr:uid="{36851281-F9FA-E94D-97E9-BAEE9ADB5455}">
          <x14:formula1>
            <xm:f>DROPDOWN!$P$4:$P$6</xm:f>
          </x14:formula1>
          <xm:sqref>C8:D8</xm:sqref>
        </x14:dataValidation>
        <x14:dataValidation type="list" allowBlank="1" showInputMessage="1" showErrorMessage="1" xr:uid="{CBA248F1-4F27-134A-AE0F-FB0A022D28A5}">
          <x14:formula1>
            <xm:f>DROPDOWN!$Q$4:$Q$6</xm:f>
          </x14:formula1>
          <xm:sqref>C7:D7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DA87E-85BD-9441-8007-3FC3B82EA841}">
  <sheetPr>
    <tabColor rgb="FF01A79A"/>
  </sheetPr>
  <dimension ref="A1:I47"/>
  <sheetViews>
    <sheetView topLeftCell="A8" workbookViewId="0">
      <selection activeCell="O14" sqref="O14"/>
    </sheetView>
  </sheetViews>
  <sheetFormatPr defaultColWidth="10.875" defaultRowHeight="15.95"/>
  <cols>
    <col min="1" max="1" width="11" customWidth="1"/>
    <col min="2" max="2" width="21.125" style="279" bestFit="1" customWidth="1"/>
    <col min="3" max="3" width="11" style="280" customWidth="1"/>
    <col min="4" max="4" width="20" style="275" bestFit="1" customWidth="1"/>
    <col min="5" max="5" width="7.625" style="275" bestFit="1" customWidth="1"/>
    <col min="6" max="6" width="9.375" style="275" bestFit="1" customWidth="1"/>
    <col min="7" max="7" width="15.125" style="275" customWidth="1"/>
    <col min="8" max="8" width="4" style="275" customWidth="1"/>
    <col min="9" max="16384" width="10.875" style="275"/>
  </cols>
  <sheetData>
    <row r="1" spans="1:7" ht="17.100000000000001" thickBot="1"/>
    <row r="2" spans="1:7" ht="17.100000000000001" thickBot="1">
      <c r="B2" s="523" t="s">
        <v>397</v>
      </c>
      <c r="C2" s="524"/>
      <c r="D2" s="524"/>
      <c r="E2" s="524"/>
      <c r="F2" s="524"/>
      <c r="G2" s="525"/>
    </row>
    <row r="3" spans="1:7" s="271" customFormat="1" ht="36" customHeight="1" thickBot="1">
      <c r="B3" s="296" t="s">
        <v>294</v>
      </c>
      <c r="C3" s="297" t="s">
        <v>398</v>
      </c>
      <c r="D3" s="297" t="s">
        <v>399</v>
      </c>
      <c r="E3" s="297" t="s">
        <v>397</v>
      </c>
      <c r="F3" s="297" t="s">
        <v>400</v>
      </c>
      <c r="G3" s="298" t="s">
        <v>401</v>
      </c>
    </row>
    <row r="4" spans="1:7" ht="14.1">
      <c r="A4" s="275"/>
      <c r="B4" s="549" t="s">
        <v>402</v>
      </c>
      <c r="C4" s="299">
        <v>3</v>
      </c>
      <c r="D4" s="300" t="s">
        <v>403</v>
      </c>
      <c r="E4" s="540">
        <f>IF(DASHBOARD!AT25&lt;45,'SCORECARD CALC'!C4,IF(DASHBOARD!AT25&lt;60,'SCORECARD CALC'!C5,IF(DASHBOARD!AT25&gt;=60,'SCORECARD CALC'!C6,0)))</f>
        <v>3</v>
      </c>
      <c r="F4" s="546">
        <v>0.12</v>
      </c>
      <c r="G4" s="533">
        <f>((E4*F4))/3</f>
        <v>0.12</v>
      </c>
    </row>
    <row r="5" spans="1:7" ht="14.1">
      <c r="A5" s="275"/>
      <c r="B5" s="550"/>
      <c r="C5" s="272">
        <v>2</v>
      </c>
      <c r="D5" s="273" t="s">
        <v>404</v>
      </c>
      <c r="E5" s="541"/>
      <c r="F5" s="528"/>
      <c r="G5" s="534"/>
    </row>
    <row r="6" spans="1:7" ht="15" thickBot="1">
      <c r="A6" s="275"/>
      <c r="B6" s="551"/>
      <c r="C6" s="301">
        <v>0</v>
      </c>
      <c r="D6" s="302" t="s">
        <v>405</v>
      </c>
      <c r="E6" s="542"/>
      <c r="F6" s="547"/>
      <c r="G6" s="535"/>
    </row>
    <row r="7" spans="1:7" ht="14.1">
      <c r="A7" s="275"/>
      <c r="B7" s="552" t="s">
        <v>358</v>
      </c>
      <c r="C7" s="317">
        <v>3</v>
      </c>
      <c r="D7" s="295" t="s">
        <v>360</v>
      </c>
      <c r="E7" s="540">
        <f>IF(FINANCIALS!C7=DROPDOWN!Q4,'SCORECARD CALC'!C7,IF(FINANCIALS!C7=DROPDOWN!Q5,'SCORECARD CALC'!C8,IF(FINANCIALS!C7=DROPDOWN!Q6,'SCORECARD CALC'!C9,0)))</f>
        <v>0</v>
      </c>
      <c r="F7" s="530">
        <v>0.12</v>
      </c>
      <c r="G7" s="520">
        <f>((E7*F7))/3</f>
        <v>0</v>
      </c>
    </row>
    <row r="8" spans="1:7" ht="14.1">
      <c r="A8" s="275"/>
      <c r="B8" s="553"/>
      <c r="C8" s="272">
        <v>2</v>
      </c>
      <c r="D8" s="273" t="s">
        <v>406</v>
      </c>
      <c r="E8" s="541"/>
      <c r="F8" s="531"/>
      <c r="G8" s="521"/>
    </row>
    <row r="9" spans="1:7" ht="15" thickBot="1">
      <c r="A9" s="275"/>
      <c r="B9" s="554"/>
      <c r="C9" s="318">
        <v>0</v>
      </c>
      <c r="D9" s="281" t="s">
        <v>359</v>
      </c>
      <c r="E9" s="542"/>
      <c r="F9" s="548"/>
      <c r="G9" s="536"/>
    </row>
    <row r="10" spans="1:7" s="274" customFormat="1" ht="27" customHeight="1">
      <c r="B10" s="549" t="s">
        <v>362</v>
      </c>
      <c r="C10" s="303">
        <v>3</v>
      </c>
      <c r="D10" s="304" t="s">
        <v>407</v>
      </c>
      <c r="E10" s="540">
        <f>IF(DASHBOARD!AS31=DROPDOWN!P4,'SCORECARD CALC'!C10,IF(DASHBOARD!AS31=DROPDOWN!P5,'SCORECARD CALC'!C11,IF(DASHBOARD!AS31=DROPDOWN!P6,'SCORECARD CALC'!C12,0)))</f>
        <v>0</v>
      </c>
      <c r="F10" s="546">
        <v>0.12</v>
      </c>
      <c r="G10" s="533">
        <f>((E10*F10))/3</f>
        <v>0</v>
      </c>
    </row>
    <row r="11" spans="1:7" s="274" customFormat="1" ht="27" customHeight="1">
      <c r="B11" s="550"/>
      <c r="C11" s="276">
        <v>2</v>
      </c>
      <c r="D11" s="277" t="s">
        <v>408</v>
      </c>
      <c r="E11" s="541"/>
      <c r="F11" s="528"/>
      <c r="G11" s="534"/>
    </row>
    <row r="12" spans="1:7" ht="27" customHeight="1" thickBot="1">
      <c r="A12" s="275"/>
      <c r="B12" s="551"/>
      <c r="C12" s="305">
        <v>0</v>
      </c>
      <c r="D12" s="306" t="s">
        <v>409</v>
      </c>
      <c r="E12" s="542"/>
      <c r="F12" s="547"/>
      <c r="G12" s="535"/>
    </row>
    <row r="13" spans="1:7" ht="14.1">
      <c r="A13" s="275"/>
      <c r="B13" s="552" t="s">
        <v>410</v>
      </c>
      <c r="C13" s="294">
        <v>3</v>
      </c>
      <c r="D13" s="295" t="s">
        <v>403</v>
      </c>
      <c r="E13" s="540">
        <f>IF(DASHBOARD!AT21&lt;=45,'SCORECARD CALC'!C13,IF(DASHBOARD!AT21&lt;60,'SCORECARD CALC'!C14,IF(DASHBOARD!AT21&gt;=60,'SCORECARD CALC'!C15,0)))</f>
        <v>3</v>
      </c>
      <c r="F13" s="527">
        <v>0.08</v>
      </c>
      <c r="G13" s="537">
        <f>((E13*F13))/3</f>
        <v>0.08</v>
      </c>
    </row>
    <row r="14" spans="1:7" ht="14.1">
      <c r="A14" s="275"/>
      <c r="B14" s="553"/>
      <c r="C14" s="276">
        <v>2</v>
      </c>
      <c r="D14" s="273" t="s">
        <v>404</v>
      </c>
      <c r="E14" s="541"/>
      <c r="F14" s="528"/>
      <c r="G14" s="538"/>
    </row>
    <row r="15" spans="1:7" ht="15" thickBot="1">
      <c r="A15" s="275"/>
      <c r="B15" s="554"/>
      <c r="C15" s="292">
        <v>0</v>
      </c>
      <c r="D15" s="281" t="s">
        <v>405</v>
      </c>
      <c r="E15" s="542"/>
      <c r="F15" s="529"/>
      <c r="G15" s="539"/>
    </row>
    <row r="16" spans="1:7" ht="14.1">
      <c r="A16" s="275"/>
      <c r="B16" s="549" t="s">
        <v>411</v>
      </c>
      <c r="C16" s="299">
        <v>3</v>
      </c>
      <c r="D16" s="300" t="s">
        <v>412</v>
      </c>
      <c r="E16" s="540">
        <f>IF(DASHBOARD!AI51=0,'SCORECARD CALC'!C16,IF(DASHBOARD!AI51&lt;=1,'SCORECARD CALC'!C17,IF(DASHBOARD!AI51&gt;=2,'SCORECARD CALC'!C18,0)))</f>
        <v>3</v>
      </c>
      <c r="F16" s="546">
        <v>0.14000000000000001</v>
      </c>
      <c r="G16" s="533">
        <f>((E16*F16))/3</f>
        <v>0.14000000000000001</v>
      </c>
    </row>
    <row r="17" spans="1:9" ht="14.1">
      <c r="A17" s="275"/>
      <c r="B17" s="550"/>
      <c r="C17" s="272">
        <v>2</v>
      </c>
      <c r="D17" s="273" t="s">
        <v>413</v>
      </c>
      <c r="E17" s="541"/>
      <c r="F17" s="528"/>
      <c r="G17" s="534"/>
    </row>
    <row r="18" spans="1:9" ht="15" thickBot="1">
      <c r="A18" s="275"/>
      <c r="B18" s="551"/>
      <c r="C18" s="301">
        <v>0</v>
      </c>
      <c r="D18" s="302" t="s">
        <v>414</v>
      </c>
      <c r="E18" s="542"/>
      <c r="F18" s="547"/>
      <c r="G18" s="535"/>
    </row>
    <row r="19" spans="1:9" ht="14.1">
      <c r="A19" s="275"/>
      <c r="B19" s="552" t="s">
        <v>415</v>
      </c>
      <c r="C19" s="294">
        <v>3</v>
      </c>
      <c r="D19" s="307" t="s">
        <v>416</v>
      </c>
      <c r="E19" s="556">
        <f>IF(DASHBOARD!L19&lt;=5,'SCORECARD CALC'!C19,IF(DASHBOARD!L19&lt;=9,'SCORECARD CALC'!C20,IF(DASHBOARD!L19&gt;=10,'SCORECARD CALC'!C21,0)))</f>
        <v>3</v>
      </c>
      <c r="F19" s="527">
        <v>0.15</v>
      </c>
      <c r="G19" s="537">
        <f>((E19*F19))/3</f>
        <v>0.15</v>
      </c>
    </row>
    <row r="20" spans="1:9" ht="14.1">
      <c r="A20" s="275"/>
      <c r="B20" s="553"/>
      <c r="C20" s="276">
        <v>2</v>
      </c>
      <c r="D20" s="277" t="s">
        <v>417</v>
      </c>
      <c r="E20" s="541"/>
      <c r="F20" s="528"/>
      <c r="G20" s="538"/>
    </row>
    <row r="21" spans="1:9" ht="15" thickBot="1">
      <c r="A21" s="275"/>
      <c r="B21" s="554"/>
      <c r="C21" s="292">
        <v>0</v>
      </c>
      <c r="D21" s="293" t="s">
        <v>418</v>
      </c>
      <c r="E21" s="557"/>
      <c r="F21" s="529"/>
      <c r="G21" s="539"/>
    </row>
    <row r="22" spans="1:9" ht="14.1">
      <c r="A22" s="275"/>
      <c r="B22" s="549" t="s">
        <v>419</v>
      </c>
      <c r="C22" s="303">
        <v>3</v>
      </c>
      <c r="D22" s="304" t="s">
        <v>420</v>
      </c>
      <c r="E22" s="540">
        <f>IF(DASHBOARD!M16&lt;=0,'SCORECARD CALC'!C22,IF(DASHBOARD!M16&lt;=14,'SCORECARD CALC'!C23,IF(DASHBOARD!M16&gt;=15,'SCORECARD CALC'!C24,0)))</f>
        <v>0</v>
      </c>
      <c r="F22" s="546">
        <v>0.15</v>
      </c>
      <c r="G22" s="533">
        <f>((E22*F22))/3</f>
        <v>0</v>
      </c>
    </row>
    <row r="23" spans="1:9" ht="14.1">
      <c r="A23" s="275"/>
      <c r="B23" s="550"/>
      <c r="C23" s="276">
        <v>2</v>
      </c>
      <c r="D23" s="277" t="s">
        <v>421</v>
      </c>
      <c r="E23" s="541"/>
      <c r="F23" s="528"/>
      <c r="G23" s="534"/>
    </row>
    <row r="24" spans="1:9" ht="15" thickBot="1">
      <c r="A24" s="275"/>
      <c r="B24" s="551"/>
      <c r="C24" s="305">
        <v>0</v>
      </c>
      <c r="D24" s="306" t="s">
        <v>422</v>
      </c>
      <c r="E24" s="542"/>
      <c r="F24" s="547"/>
      <c r="G24" s="535"/>
    </row>
    <row r="25" spans="1:9" ht="14.1">
      <c r="A25" s="275"/>
      <c r="B25" s="549" t="s">
        <v>423</v>
      </c>
      <c r="C25" s="303">
        <v>3</v>
      </c>
      <c r="D25" s="300" t="s">
        <v>424</v>
      </c>
      <c r="E25" s="540">
        <f>IF(DASHBOARD!M67&lt;=5,'SCORECARD CALC'!C25,IF(DASHBOARD!M67&lt;=10,'SCORECARD CALC'!C26,IF(DASHBOARD!M67&gt;=11,'SCORECARD CALC'!C27,0)))</f>
        <v>3</v>
      </c>
      <c r="F25" s="546">
        <v>0.1</v>
      </c>
      <c r="G25" s="533">
        <f>((E25*F25))/3</f>
        <v>0.10000000000000002</v>
      </c>
      <c r="H25" s="278"/>
      <c r="I25" s="278"/>
    </row>
    <row r="26" spans="1:9" ht="14.1">
      <c r="A26" s="275"/>
      <c r="B26" s="550"/>
      <c r="C26" s="276">
        <v>2</v>
      </c>
      <c r="D26" s="277" t="s">
        <v>425</v>
      </c>
      <c r="E26" s="541"/>
      <c r="F26" s="528"/>
      <c r="G26" s="534"/>
    </row>
    <row r="27" spans="1:9" ht="15" thickBot="1">
      <c r="A27" s="275"/>
      <c r="B27" s="551"/>
      <c r="C27" s="305">
        <v>0</v>
      </c>
      <c r="D27" s="306" t="s">
        <v>426</v>
      </c>
      <c r="E27" s="542"/>
      <c r="F27" s="547"/>
      <c r="G27" s="535"/>
    </row>
    <row r="28" spans="1:9" ht="14.1">
      <c r="A28" s="275"/>
      <c r="B28" s="552" t="s">
        <v>427</v>
      </c>
      <c r="C28" s="294">
        <v>3</v>
      </c>
      <c r="D28" s="295" t="s">
        <v>428</v>
      </c>
      <c r="E28" s="543">
        <v>0</v>
      </c>
      <c r="F28" s="530">
        <v>0.02</v>
      </c>
      <c r="G28" s="520">
        <f>((E28*F28))/3</f>
        <v>0</v>
      </c>
    </row>
    <row r="29" spans="1:9" ht="14.1">
      <c r="A29" s="275"/>
      <c r="B29" s="553"/>
      <c r="C29" s="276">
        <v>2</v>
      </c>
      <c r="D29" s="314" t="s">
        <v>429</v>
      </c>
      <c r="E29" s="544"/>
      <c r="F29" s="531"/>
      <c r="G29" s="521"/>
      <c r="I29" s="275" t="s">
        <v>430</v>
      </c>
    </row>
    <row r="30" spans="1:9" ht="15" thickBot="1">
      <c r="A30" s="275"/>
      <c r="B30" s="555"/>
      <c r="C30" s="315">
        <v>0</v>
      </c>
      <c r="D30" s="316" t="s">
        <v>431</v>
      </c>
      <c r="E30" s="545"/>
      <c r="F30" s="532"/>
      <c r="G30" s="522"/>
    </row>
    <row r="31" spans="1:9" thickBot="1">
      <c r="A31" s="275"/>
      <c r="B31" s="284"/>
      <c r="C31" s="285"/>
      <c r="D31" s="286"/>
      <c r="E31" s="287"/>
      <c r="F31" s="288"/>
      <c r="G31" s="289">
        <f>SUM(G4:G30)</f>
        <v>0.59</v>
      </c>
    </row>
    <row r="32" spans="1:9" ht="15" thickBot="1">
      <c r="A32" s="275"/>
    </row>
    <row r="33" spans="1:6" ht="14.1">
      <c r="A33" s="275"/>
      <c r="B33" s="515" t="s">
        <v>432</v>
      </c>
      <c r="C33" s="516"/>
      <c r="D33" s="517"/>
    </row>
    <row r="34" spans="1:6" ht="14.1">
      <c r="A34" s="275"/>
      <c r="B34" s="290" t="s">
        <v>433</v>
      </c>
      <c r="C34" s="518" t="s">
        <v>434</v>
      </c>
      <c r="D34" s="519"/>
      <c r="F34" s="275" t="s">
        <v>430</v>
      </c>
    </row>
    <row r="35" spans="1:6" ht="15.95" customHeight="1">
      <c r="A35" s="275"/>
      <c r="B35" s="291" t="s">
        <v>435</v>
      </c>
      <c r="C35" s="511" t="s">
        <v>436</v>
      </c>
      <c r="D35" s="512"/>
    </row>
    <row r="36" spans="1:6" ht="15.95" customHeight="1">
      <c r="A36" s="275"/>
      <c r="B36" s="283" t="s">
        <v>437</v>
      </c>
      <c r="C36" s="507">
        <v>3</v>
      </c>
      <c r="D36" s="508"/>
    </row>
    <row r="37" spans="1:6" ht="15.95" customHeight="1">
      <c r="A37" s="275"/>
      <c r="B37" s="283" t="s">
        <v>438</v>
      </c>
      <c r="C37" s="507">
        <v>3</v>
      </c>
      <c r="D37" s="508"/>
    </row>
    <row r="38" spans="1:6" ht="15.95" customHeight="1">
      <c r="A38" s="275"/>
      <c r="B38" s="283" t="s">
        <v>439</v>
      </c>
      <c r="C38" s="507">
        <v>3</v>
      </c>
      <c r="D38" s="508"/>
      <c r="F38" s="526" t="s">
        <v>430</v>
      </c>
    </row>
    <row r="39" spans="1:6" ht="15.95" customHeight="1">
      <c r="A39" s="275"/>
      <c r="B39" s="283" t="s">
        <v>440</v>
      </c>
      <c r="C39" s="507">
        <v>3</v>
      </c>
      <c r="D39" s="508"/>
      <c r="F39" s="526"/>
    </row>
    <row r="40" spans="1:6" ht="15.95" customHeight="1">
      <c r="A40" s="275"/>
      <c r="B40" s="283" t="s">
        <v>441</v>
      </c>
      <c r="C40" s="507">
        <v>3</v>
      </c>
      <c r="D40" s="508"/>
    </row>
    <row r="41" spans="1:6" ht="15.95" customHeight="1" thickBot="1">
      <c r="A41" s="275"/>
      <c r="B41" s="283" t="s">
        <v>442</v>
      </c>
      <c r="C41" s="509">
        <v>3</v>
      </c>
      <c r="D41" s="510"/>
    </row>
    <row r="42" spans="1:6" ht="15.95" customHeight="1" thickBot="1">
      <c r="A42" s="275"/>
      <c r="B42" s="284"/>
      <c r="C42" s="513">
        <f>SUM(C36:C41)/(COUNTA(B36:B41)*5)</f>
        <v>0.6</v>
      </c>
      <c r="D42" s="514"/>
    </row>
    <row r="43" spans="1:6" ht="14.1">
      <c r="A43" s="275"/>
      <c r="C43" s="282"/>
    </row>
    <row r="44" spans="1:6" ht="14.1">
      <c r="A44" s="275"/>
    </row>
    <row r="45" spans="1:6" ht="14.1">
      <c r="A45" s="275"/>
    </row>
    <row r="46" spans="1:6" ht="14.1">
      <c r="A46" s="275"/>
    </row>
    <row r="47" spans="1:6" ht="14.1">
      <c r="A47" s="275"/>
    </row>
  </sheetData>
  <sheetProtection algorithmName="SHA-512" hashValue="XOc3QUumpnHHZHjck3guAkvnUmGRtnqaNG0NjrNRBIo37KlDTRl6UbhrbhUSbyapaJV/OnyHr7NGnAc2+F1fdQ==" saltValue="1ppX8uxA/3w+qIPTvEQmAA==" spinCount="100000" sheet="1" objects="1" scenarios="1"/>
  <mergeCells count="48">
    <mergeCell ref="B22:B24"/>
    <mergeCell ref="B25:B27"/>
    <mergeCell ref="B13:B15"/>
    <mergeCell ref="B28:B30"/>
    <mergeCell ref="E4:E6"/>
    <mergeCell ref="E7:E9"/>
    <mergeCell ref="E16:E18"/>
    <mergeCell ref="E10:E12"/>
    <mergeCell ref="E19:E21"/>
    <mergeCell ref="E22:E24"/>
    <mergeCell ref="B4:B6"/>
    <mergeCell ref="B7:B9"/>
    <mergeCell ref="B16:B18"/>
    <mergeCell ref="B10:B12"/>
    <mergeCell ref="B19:B21"/>
    <mergeCell ref="E25:E27"/>
    <mergeCell ref="E13:E15"/>
    <mergeCell ref="E28:E30"/>
    <mergeCell ref="F4:F6"/>
    <mergeCell ref="F7:F9"/>
    <mergeCell ref="F16:F18"/>
    <mergeCell ref="F10:F12"/>
    <mergeCell ref="F19:F21"/>
    <mergeCell ref="F22:F24"/>
    <mergeCell ref="F25:F27"/>
    <mergeCell ref="G28:G30"/>
    <mergeCell ref="B2:G2"/>
    <mergeCell ref="C36:D36"/>
    <mergeCell ref="C37:D37"/>
    <mergeCell ref="C38:D38"/>
    <mergeCell ref="F38:F39"/>
    <mergeCell ref="F13:F15"/>
    <mergeCell ref="F28:F30"/>
    <mergeCell ref="G4:G6"/>
    <mergeCell ref="G7:G9"/>
    <mergeCell ref="G16:G18"/>
    <mergeCell ref="G10:G12"/>
    <mergeCell ref="G19:G21"/>
    <mergeCell ref="G22:G24"/>
    <mergeCell ref="G25:G27"/>
    <mergeCell ref="G13:G15"/>
    <mergeCell ref="C40:D40"/>
    <mergeCell ref="C41:D41"/>
    <mergeCell ref="C35:D35"/>
    <mergeCell ref="C42:D42"/>
    <mergeCell ref="B33:D33"/>
    <mergeCell ref="C34:D34"/>
    <mergeCell ref="C39:D39"/>
  </mergeCells>
  <phoneticPr fontId="20" type="noConversion"/>
  <pageMargins left="0.7" right="0.7" top="0.75" bottom="0.75" header="0.3" footer="0.3"/>
  <pageSetup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B1E1-3884-744D-844B-9DFE9BAC8E2E}">
  <dimension ref="B2:Q40"/>
  <sheetViews>
    <sheetView topLeftCell="I1" zoomScale="90" zoomScaleNormal="90" workbookViewId="0">
      <selection activeCell="N2" sqref="N2:Q2"/>
    </sheetView>
  </sheetViews>
  <sheetFormatPr defaultColWidth="11" defaultRowHeight="15.95"/>
  <cols>
    <col min="1" max="1" width="5.375" customWidth="1"/>
    <col min="3" max="3" width="21.5" customWidth="1"/>
    <col min="4" max="4" width="14.375" customWidth="1"/>
    <col min="5" max="5" width="18.625" customWidth="1"/>
    <col min="9" max="9" width="35.625" customWidth="1"/>
    <col min="10" max="10" width="14.375" customWidth="1"/>
    <col min="11" max="11" width="26.875" customWidth="1"/>
    <col min="12" max="12" width="13" bestFit="1" customWidth="1"/>
    <col min="13" max="13" width="25.375" customWidth="1"/>
    <col min="14" max="14" width="13.875" bestFit="1" customWidth="1"/>
    <col min="16" max="16" width="39" customWidth="1"/>
    <col min="17" max="17" width="26" customWidth="1"/>
  </cols>
  <sheetData>
    <row r="2" spans="2:17" s="177" customFormat="1">
      <c r="B2" s="558" t="s">
        <v>443</v>
      </c>
      <c r="C2" s="558"/>
      <c r="D2" s="558"/>
      <c r="E2" s="558" t="s">
        <v>52</v>
      </c>
      <c r="F2" s="558"/>
      <c r="G2" s="558"/>
      <c r="H2" s="559" t="s">
        <v>98</v>
      </c>
      <c r="I2" s="560"/>
      <c r="J2" s="561"/>
      <c r="K2" s="562" t="s">
        <v>107</v>
      </c>
      <c r="L2" s="563"/>
      <c r="M2" s="249" t="s">
        <v>444</v>
      </c>
      <c r="N2" s="564" t="s">
        <v>53</v>
      </c>
      <c r="O2" s="564"/>
      <c r="P2" s="564"/>
      <c r="Q2" s="564"/>
    </row>
    <row r="3" spans="2:17" s="82" customFormat="1">
      <c r="B3" s="171" t="s">
        <v>445</v>
      </c>
      <c r="C3" s="171" t="s">
        <v>195</v>
      </c>
      <c r="D3" s="171" t="s">
        <v>196</v>
      </c>
      <c r="E3" s="172" t="s">
        <v>170</v>
      </c>
      <c r="F3" s="172" t="s">
        <v>446</v>
      </c>
      <c r="G3" s="172" t="s">
        <v>447</v>
      </c>
      <c r="H3" s="172" t="s">
        <v>260</v>
      </c>
      <c r="I3" s="172" t="s">
        <v>261</v>
      </c>
      <c r="J3" s="172" t="s">
        <v>196</v>
      </c>
      <c r="K3" s="172" t="s">
        <v>261</v>
      </c>
      <c r="L3" s="172" t="s">
        <v>196</v>
      </c>
      <c r="M3" s="249" t="s">
        <v>448</v>
      </c>
      <c r="N3" s="172" t="s">
        <v>369</v>
      </c>
      <c r="O3" s="172" t="s">
        <v>446</v>
      </c>
      <c r="P3" s="172" t="s">
        <v>446</v>
      </c>
      <c r="Q3" s="172" t="s">
        <v>449</v>
      </c>
    </row>
    <row r="4" spans="2:17">
      <c r="B4" s="180" t="s">
        <v>214</v>
      </c>
      <c r="C4" s="19" t="s">
        <v>450</v>
      </c>
      <c r="D4" s="180" t="s">
        <v>212</v>
      </c>
      <c r="E4" s="182" t="s">
        <v>188</v>
      </c>
      <c r="F4" s="181" t="s">
        <v>395</v>
      </c>
      <c r="G4" s="173" t="s">
        <v>156</v>
      </c>
      <c r="H4" s="19" t="s">
        <v>265</v>
      </c>
      <c r="I4" s="19" t="s">
        <v>451</v>
      </c>
      <c r="J4" s="182" t="s">
        <v>268</v>
      </c>
      <c r="K4" s="19" t="s">
        <v>298</v>
      </c>
      <c r="L4" s="19" t="s">
        <v>301</v>
      </c>
      <c r="M4" s="320" t="s">
        <v>351</v>
      </c>
      <c r="N4" s="182" t="s">
        <v>188</v>
      </c>
      <c r="O4" s="181" t="s">
        <v>395</v>
      </c>
      <c r="P4" s="264" t="s">
        <v>452</v>
      </c>
      <c r="Q4" s="264" t="s">
        <v>360</v>
      </c>
    </row>
    <row r="5" spans="2:17">
      <c r="B5" s="183" t="s">
        <v>199</v>
      </c>
      <c r="C5" s="19" t="s">
        <v>37</v>
      </c>
      <c r="D5" s="183" t="s">
        <v>205</v>
      </c>
      <c r="E5" s="183" t="s">
        <v>183</v>
      </c>
      <c r="F5" s="179" t="s">
        <v>154</v>
      </c>
      <c r="G5" s="173" t="s">
        <v>453</v>
      </c>
      <c r="H5" s="19" t="s">
        <v>309</v>
      </c>
      <c r="I5" s="19" t="s">
        <v>454</v>
      </c>
      <c r="J5" s="182" t="s">
        <v>455</v>
      </c>
      <c r="K5" s="19" t="s">
        <v>304</v>
      </c>
      <c r="L5" s="19" t="s">
        <v>306</v>
      </c>
      <c r="M5" s="320" t="s">
        <v>456</v>
      </c>
      <c r="N5" s="183" t="s">
        <v>381</v>
      </c>
      <c r="O5" s="179" t="s">
        <v>154</v>
      </c>
      <c r="P5" s="265" t="s">
        <v>457</v>
      </c>
      <c r="Q5" s="265" t="s">
        <v>406</v>
      </c>
    </row>
    <row r="6" spans="2:17">
      <c r="B6" s="19" t="s">
        <v>216</v>
      </c>
      <c r="C6" s="19" t="s">
        <v>270</v>
      </c>
      <c r="D6" s="183" t="s">
        <v>208</v>
      </c>
      <c r="E6" s="180" t="s">
        <v>176</v>
      </c>
      <c r="F6" s="173"/>
      <c r="G6" s="173" t="s">
        <v>458</v>
      </c>
      <c r="H6" s="19"/>
      <c r="I6" s="19" t="s">
        <v>459</v>
      </c>
      <c r="J6" s="183" t="s">
        <v>273</v>
      </c>
      <c r="K6" s="19" t="s">
        <v>310</v>
      </c>
      <c r="L6" s="19" t="s">
        <v>313</v>
      </c>
      <c r="M6" s="320" t="s">
        <v>350</v>
      </c>
      <c r="N6" s="180" t="s">
        <v>375</v>
      </c>
      <c r="O6" s="19"/>
      <c r="P6" s="266" t="s">
        <v>363</v>
      </c>
      <c r="Q6" s="266" t="s">
        <v>359</v>
      </c>
    </row>
    <row r="7" spans="2:17">
      <c r="B7" s="19"/>
      <c r="C7" s="19" t="s">
        <v>460</v>
      </c>
      <c r="D7" s="182" t="s">
        <v>202</v>
      </c>
      <c r="E7" s="19"/>
      <c r="F7" s="173"/>
      <c r="G7" s="173" t="s">
        <v>461</v>
      </c>
      <c r="H7" s="19"/>
      <c r="I7" s="19" t="s">
        <v>266</v>
      </c>
      <c r="J7" s="183" t="s">
        <v>205</v>
      </c>
      <c r="K7" s="19" t="s">
        <v>462</v>
      </c>
      <c r="L7" s="19" t="s">
        <v>319</v>
      </c>
      <c r="M7" s="247" t="s">
        <v>463</v>
      </c>
      <c r="N7" s="19"/>
      <c r="O7" s="19"/>
      <c r="P7" s="319"/>
      <c r="Q7" s="19"/>
    </row>
    <row r="8" spans="2:17">
      <c r="B8" s="19"/>
      <c r="C8" s="19" t="s">
        <v>464</v>
      </c>
      <c r="D8" s="19"/>
      <c r="E8" s="19"/>
      <c r="F8" s="173"/>
      <c r="G8" s="173" t="s">
        <v>465</v>
      </c>
      <c r="H8" s="19"/>
      <c r="I8" s="19" t="s">
        <v>466</v>
      </c>
      <c r="J8" s="180" t="s">
        <v>467</v>
      </c>
      <c r="K8" s="19" t="s">
        <v>468</v>
      </c>
      <c r="L8" s="19" t="s">
        <v>313</v>
      </c>
      <c r="M8" s="247" t="s">
        <v>469</v>
      </c>
      <c r="N8" s="19"/>
      <c r="O8" s="19"/>
      <c r="P8" s="319"/>
      <c r="Q8" s="19"/>
    </row>
    <row r="9" spans="2:17">
      <c r="B9" s="19"/>
      <c r="C9" s="19" t="s">
        <v>470</v>
      </c>
      <c r="D9" s="19"/>
      <c r="E9" s="19"/>
      <c r="F9" s="173"/>
      <c r="G9" s="173" t="s">
        <v>471</v>
      </c>
      <c r="H9" s="19"/>
      <c r="I9" s="19" t="s">
        <v>472</v>
      </c>
      <c r="J9" s="180" t="s">
        <v>473</v>
      </c>
      <c r="K9" s="19" t="s">
        <v>316</v>
      </c>
      <c r="L9" s="19" t="s">
        <v>306</v>
      </c>
      <c r="M9" s="247" t="s">
        <v>349</v>
      </c>
      <c r="N9" s="19"/>
      <c r="O9" s="19"/>
      <c r="P9" s="319"/>
      <c r="Q9" s="19"/>
    </row>
    <row r="10" spans="2:17">
      <c r="B10" s="19"/>
      <c r="C10" s="19" t="s">
        <v>474</v>
      </c>
      <c r="D10" s="19"/>
      <c r="E10" s="19"/>
      <c r="F10" s="173"/>
      <c r="G10" s="173" t="s">
        <v>475</v>
      </c>
      <c r="H10" s="19"/>
      <c r="I10" s="19" t="s">
        <v>476</v>
      </c>
      <c r="J10" s="19"/>
      <c r="K10" s="19" t="s">
        <v>477</v>
      </c>
      <c r="L10" s="19" t="s">
        <v>334</v>
      </c>
      <c r="M10" s="247" t="s">
        <v>478</v>
      </c>
      <c r="N10" s="19"/>
      <c r="O10" s="19"/>
      <c r="P10" s="319"/>
      <c r="Q10" s="19"/>
    </row>
    <row r="11" spans="2:17">
      <c r="B11" s="19"/>
      <c r="C11" s="19" t="s">
        <v>201</v>
      </c>
      <c r="D11" s="19"/>
      <c r="E11" s="19"/>
      <c r="F11" s="173"/>
      <c r="G11" s="173" t="s">
        <v>479</v>
      </c>
      <c r="H11" s="19"/>
      <c r="I11" s="19" t="s">
        <v>480</v>
      </c>
      <c r="J11" s="19"/>
      <c r="K11" s="19" t="s">
        <v>481</v>
      </c>
      <c r="L11" s="19"/>
      <c r="M11" s="247" t="s">
        <v>482</v>
      </c>
      <c r="N11" s="19"/>
      <c r="O11" s="19"/>
      <c r="P11" s="319"/>
      <c r="Q11" s="19"/>
    </row>
    <row r="12" spans="2:17">
      <c r="B12" s="19"/>
      <c r="C12" s="19" t="s">
        <v>483</v>
      </c>
      <c r="D12" s="19"/>
      <c r="E12" s="19"/>
      <c r="F12" s="173"/>
      <c r="G12" s="173" t="s">
        <v>484</v>
      </c>
      <c r="H12" s="19"/>
      <c r="I12" s="19" t="s">
        <v>485</v>
      </c>
      <c r="J12" s="19"/>
      <c r="K12" s="19" t="s">
        <v>322</v>
      </c>
      <c r="L12" s="19"/>
      <c r="M12" s="247" t="s">
        <v>486</v>
      </c>
      <c r="N12" s="19"/>
      <c r="O12" s="19"/>
      <c r="P12" s="319"/>
      <c r="Q12" s="19"/>
    </row>
    <row r="13" spans="2:17">
      <c r="B13" s="19"/>
      <c r="C13" s="19"/>
      <c r="D13" s="19"/>
      <c r="E13" s="19"/>
      <c r="F13" s="173"/>
      <c r="G13" s="173" t="s">
        <v>487</v>
      </c>
      <c r="H13" s="19"/>
      <c r="I13" s="19" t="s">
        <v>271</v>
      </c>
      <c r="J13" s="19"/>
      <c r="K13" s="19" t="s">
        <v>327</v>
      </c>
      <c r="L13" s="19"/>
      <c r="M13" s="247" t="s">
        <v>488</v>
      </c>
      <c r="N13" s="19"/>
      <c r="O13" s="19"/>
      <c r="P13" s="319"/>
      <c r="Q13" s="19"/>
    </row>
    <row r="14" spans="2:17">
      <c r="B14" s="19"/>
      <c r="C14" s="19"/>
      <c r="D14" s="19"/>
      <c r="E14" s="19"/>
      <c r="F14" s="173"/>
      <c r="G14" s="173" t="s">
        <v>489</v>
      </c>
      <c r="H14" s="19"/>
      <c r="I14" s="19" t="s">
        <v>490</v>
      </c>
      <c r="J14" s="19"/>
      <c r="K14" s="19" t="s">
        <v>331</v>
      </c>
      <c r="L14" s="19"/>
      <c r="M14" s="247" t="s">
        <v>491</v>
      </c>
      <c r="N14" s="19"/>
      <c r="O14" s="19"/>
      <c r="P14" s="319"/>
      <c r="Q14" s="19"/>
    </row>
    <row r="15" spans="2:17">
      <c r="B15" s="19"/>
      <c r="C15" s="19"/>
      <c r="D15" s="19"/>
      <c r="E15" s="19"/>
      <c r="F15" s="173"/>
      <c r="G15" s="173"/>
      <c r="H15" s="19"/>
      <c r="I15" s="19" t="s">
        <v>492</v>
      </c>
      <c r="J15" s="19"/>
      <c r="K15" s="19"/>
      <c r="L15" s="19"/>
      <c r="M15" s="247" t="s">
        <v>493</v>
      </c>
      <c r="N15" s="19"/>
      <c r="O15" s="19"/>
      <c r="P15" s="319"/>
      <c r="Q15" s="19"/>
    </row>
    <row r="16" spans="2:17">
      <c r="B16" s="19"/>
      <c r="C16" s="19"/>
      <c r="D16" s="19"/>
      <c r="E16" s="19"/>
      <c r="F16" s="19"/>
      <c r="G16" s="19"/>
      <c r="H16" s="19"/>
      <c r="I16" s="19" t="s">
        <v>494</v>
      </c>
      <c r="J16" s="19"/>
      <c r="K16" s="19"/>
      <c r="L16" s="19"/>
      <c r="M16" s="247" t="s">
        <v>495</v>
      </c>
      <c r="N16" s="19"/>
      <c r="O16" s="19"/>
      <c r="P16" s="319"/>
      <c r="Q16" s="19"/>
    </row>
    <row r="17" spans="2:17">
      <c r="B17" s="19"/>
      <c r="C17" s="19"/>
      <c r="D17" s="19"/>
      <c r="E17" s="19"/>
      <c r="F17" s="19"/>
      <c r="G17" s="19"/>
      <c r="H17" s="19"/>
      <c r="I17" s="19" t="s">
        <v>496</v>
      </c>
      <c r="J17" s="19"/>
      <c r="K17" s="19"/>
      <c r="L17" s="19"/>
      <c r="M17" s="247" t="s">
        <v>497</v>
      </c>
      <c r="N17" s="19"/>
      <c r="O17" s="19"/>
      <c r="P17" s="319"/>
      <c r="Q17" s="19"/>
    </row>
    <row r="18" spans="2:17">
      <c r="B18" s="19"/>
      <c r="C18" s="19"/>
      <c r="D18" s="19"/>
      <c r="E18" s="19"/>
      <c r="F18" s="19"/>
      <c r="G18" s="19"/>
      <c r="H18" s="19"/>
      <c r="I18" s="19" t="s">
        <v>498</v>
      </c>
      <c r="J18" s="19"/>
      <c r="K18" s="19"/>
      <c r="L18" s="19"/>
      <c r="M18" s="247" t="s">
        <v>352</v>
      </c>
      <c r="N18" s="19"/>
      <c r="O18" s="19"/>
      <c r="P18" s="319"/>
      <c r="Q18" s="19"/>
    </row>
    <row r="19" spans="2:17">
      <c r="B19" s="19"/>
      <c r="C19" s="19"/>
      <c r="D19" s="19"/>
      <c r="E19" s="19"/>
      <c r="F19" s="19"/>
      <c r="G19" s="19"/>
      <c r="H19" s="19"/>
      <c r="I19" s="19" t="s">
        <v>499</v>
      </c>
      <c r="J19" s="19"/>
      <c r="K19" s="19"/>
      <c r="L19" s="19"/>
      <c r="M19" s="247" t="s">
        <v>500</v>
      </c>
      <c r="N19" s="19"/>
      <c r="O19" s="19"/>
      <c r="P19" s="319"/>
      <c r="Q19" s="19"/>
    </row>
    <row r="20" spans="2:17">
      <c r="B20" s="19"/>
      <c r="C20" s="19"/>
      <c r="D20" s="19"/>
      <c r="E20" s="19"/>
      <c r="F20" s="19"/>
      <c r="G20" s="19"/>
      <c r="H20" s="19"/>
      <c r="I20" s="19"/>
      <c r="J20" s="19"/>
      <c r="K20" s="19"/>
      <c r="L20" s="19"/>
      <c r="M20" s="247" t="s">
        <v>501</v>
      </c>
      <c r="N20" s="19"/>
      <c r="O20" s="19"/>
      <c r="P20" s="319"/>
      <c r="Q20" s="19"/>
    </row>
    <row r="21" spans="2:17">
      <c r="B21" s="19"/>
      <c r="C21" s="19"/>
      <c r="D21" s="19"/>
      <c r="E21" s="19"/>
      <c r="F21" s="19"/>
      <c r="G21" s="19"/>
      <c r="H21" s="19"/>
      <c r="I21" s="19"/>
      <c r="J21" s="19"/>
      <c r="K21" s="19"/>
      <c r="L21" s="19"/>
      <c r="M21" s="247" t="s">
        <v>347</v>
      </c>
      <c r="N21" s="19"/>
      <c r="O21" s="19"/>
      <c r="P21" s="319"/>
      <c r="Q21" s="19"/>
    </row>
    <row r="22" spans="2:17">
      <c r="B22" s="19"/>
      <c r="C22" s="19"/>
      <c r="D22" s="19"/>
      <c r="E22" s="19"/>
      <c r="F22" s="19"/>
      <c r="G22" s="19"/>
      <c r="H22" s="19"/>
      <c r="I22" s="19"/>
      <c r="J22" s="19"/>
      <c r="K22" s="19"/>
      <c r="L22" s="19"/>
      <c r="M22" s="247" t="s">
        <v>502</v>
      </c>
      <c r="N22" s="19"/>
      <c r="O22" s="19"/>
      <c r="P22" s="319"/>
      <c r="Q22" s="19"/>
    </row>
    <row r="23" spans="2:17">
      <c r="B23" s="19"/>
      <c r="C23" s="19"/>
      <c r="D23" s="19"/>
      <c r="E23" s="19"/>
      <c r="F23" s="19"/>
      <c r="G23" s="19"/>
      <c r="H23" s="19"/>
      <c r="I23" s="19"/>
      <c r="J23" s="19"/>
      <c r="K23" s="19"/>
      <c r="L23" s="19"/>
      <c r="M23" s="247" t="s">
        <v>503</v>
      </c>
      <c r="N23" s="19"/>
      <c r="O23" s="19"/>
      <c r="P23" s="319"/>
      <c r="Q23" s="19"/>
    </row>
    <row r="24" spans="2:17">
      <c r="B24" s="19"/>
      <c r="C24" s="19"/>
      <c r="D24" s="19"/>
      <c r="E24" s="19"/>
      <c r="F24" s="19"/>
      <c r="G24" s="19"/>
      <c r="H24" s="19"/>
      <c r="I24" s="19"/>
      <c r="J24" s="19"/>
      <c r="K24" s="19"/>
      <c r="L24" s="19"/>
      <c r="M24" s="247" t="s">
        <v>504</v>
      </c>
      <c r="N24" s="19"/>
      <c r="O24" s="19"/>
      <c r="P24" s="319"/>
      <c r="Q24" s="19"/>
    </row>
    <row r="25" spans="2:17">
      <c r="B25" s="19"/>
      <c r="C25" s="19"/>
      <c r="D25" s="19"/>
      <c r="E25" s="19"/>
      <c r="F25" s="19"/>
      <c r="G25" s="19"/>
      <c r="H25" s="19"/>
      <c r="I25" s="19"/>
      <c r="J25" s="19"/>
      <c r="K25" s="19"/>
      <c r="L25" s="19"/>
      <c r="M25" s="247" t="s">
        <v>505</v>
      </c>
      <c r="N25" s="19"/>
      <c r="O25" s="19"/>
      <c r="P25" s="319"/>
      <c r="Q25" s="19"/>
    </row>
    <row r="26" spans="2:17">
      <c r="B26" s="19"/>
      <c r="C26" s="19"/>
      <c r="D26" s="19"/>
      <c r="E26" s="19"/>
      <c r="F26" s="19"/>
      <c r="G26" s="19"/>
      <c r="H26" s="19"/>
      <c r="I26" s="19"/>
      <c r="J26" s="19"/>
      <c r="K26" s="19"/>
      <c r="L26" s="19"/>
      <c r="M26" s="247" t="s">
        <v>506</v>
      </c>
      <c r="N26" s="19"/>
      <c r="O26" s="19"/>
      <c r="P26" s="319"/>
      <c r="Q26" s="19"/>
    </row>
    <row r="27" spans="2:17">
      <c r="B27" s="19"/>
      <c r="C27" s="19"/>
      <c r="D27" s="19"/>
      <c r="E27" s="19"/>
      <c r="F27" s="19"/>
      <c r="G27" s="19"/>
      <c r="H27" s="19"/>
      <c r="I27" s="19"/>
      <c r="J27" s="19"/>
      <c r="K27" s="19"/>
      <c r="L27" s="19"/>
      <c r="M27" s="247" t="s">
        <v>507</v>
      </c>
      <c r="N27" s="19"/>
      <c r="O27" s="19"/>
      <c r="P27" s="319"/>
      <c r="Q27" s="19"/>
    </row>
    <row r="28" spans="2:17">
      <c r="B28" s="19"/>
      <c r="C28" s="19"/>
      <c r="D28" s="19"/>
      <c r="E28" s="19"/>
      <c r="F28" s="19"/>
      <c r="G28" s="19"/>
      <c r="H28" s="19"/>
      <c r="I28" s="19"/>
      <c r="J28" s="19"/>
      <c r="K28" s="19"/>
      <c r="L28" s="19"/>
      <c r="M28" s="247" t="s">
        <v>508</v>
      </c>
      <c r="N28" s="19"/>
      <c r="O28" s="19"/>
      <c r="P28" s="319"/>
      <c r="Q28" s="19"/>
    </row>
    <row r="29" spans="2:17">
      <c r="B29" s="19"/>
      <c r="C29" s="19"/>
      <c r="D29" s="19"/>
      <c r="E29" s="19"/>
      <c r="F29" s="19"/>
      <c r="G29" s="19"/>
      <c r="H29" s="19"/>
      <c r="I29" s="19"/>
      <c r="J29" s="19"/>
      <c r="K29" s="19"/>
      <c r="L29" s="19"/>
      <c r="M29" s="247" t="s">
        <v>348</v>
      </c>
      <c r="N29" s="19"/>
      <c r="O29" s="19"/>
      <c r="P29" s="319"/>
      <c r="Q29" s="19"/>
    </row>
    <row r="30" spans="2:17">
      <c r="B30" s="19"/>
      <c r="C30" s="19"/>
      <c r="D30" s="19"/>
      <c r="E30" s="19"/>
      <c r="F30" s="19"/>
      <c r="G30" s="19"/>
      <c r="H30" s="19"/>
      <c r="I30" s="19"/>
      <c r="J30" s="19"/>
      <c r="K30" s="19"/>
      <c r="L30" s="19"/>
      <c r="M30" s="247" t="s">
        <v>509</v>
      </c>
      <c r="N30" s="19"/>
      <c r="O30" s="19"/>
      <c r="P30" s="319"/>
      <c r="Q30" s="19"/>
    </row>
    <row r="31" spans="2:17">
      <c r="B31" s="19"/>
      <c r="C31" s="19"/>
      <c r="D31" s="19"/>
      <c r="E31" s="19"/>
      <c r="F31" s="19"/>
      <c r="G31" s="19"/>
      <c r="H31" s="19"/>
      <c r="I31" s="19"/>
      <c r="J31" s="19"/>
      <c r="K31" s="19"/>
      <c r="L31" s="19"/>
      <c r="M31" s="247" t="s">
        <v>353</v>
      </c>
      <c r="N31" s="19"/>
      <c r="O31" s="19"/>
      <c r="P31" s="319"/>
      <c r="Q31" s="19"/>
    </row>
    <row r="32" spans="2:17">
      <c r="B32" s="19"/>
      <c r="C32" s="19"/>
      <c r="D32" s="19"/>
      <c r="E32" s="19"/>
      <c r="F32" s="19"/>
      <c r="G32" s="19"/>
      <c r="H32" s="19"/>
      <c r="I32" s="19"/>
      <c r="J32" s="19"/>
      <c r="K32" s="19"/>
      <c r="L32" s="19"/>
      <c r="M32" s="247"/>
      <c r="N32" s="19"/>
      <c r="O32" s="19"/>
      <c r="P32" s="319"/>
      <c r="Q32" s="19"/>
    </row>
    <row r="33" spans="2:17">
      <c r="B33" s="19"/>
      <c r="C33" s="19"/>
      <c r="D33" s="19"/>
      <c r="E33" s="19"/>
      <c r="F33" s="19"/>
      <c r="G33" s="19"/>
      <c r="H33" s="19"/>
      <c r="I33" s="19"/>
      <c r="J33" s="19"/>
      <c r="K33" s="19"/>
      <c r="L33" s="19"/>
      <c r="M33" s="247"/>
      <c r="N33" s="19"/>
      <c r="O33" s="19"/>
      <c r="P33" s="319"/>
      <c r="Q33" s="19"/>
    </row>
    <row r="34" spans="2:17">
      <c r="B34" s="19"/>
      <c r="C34" s="19"/>
      <c r="D34" s="19"/>
      <c r="E34" s="19"/>
      <c r="F34" s="19"/>
      <c r="G34" s="19"/>
      <c r="H34" s="19"/>
      <c r="I34" s="19"/>
      <c r="J34" s="19"/>
      <c r="K34" s="19"/>
      <c r="L34" s="19"/>
      <c r="M34" s="247"/>
      <c r="N34" s="19"/>
      <c r="O34" s="19"/>
      <c r="P34" s="319"/>
      <c r="Q34" s="19"/>
    </row>
    <row r="35" spans="2:17">
      <c r="B35" s="19"/>
      <c r="C35" s="19"/>
      <c r="D35" s="19"/>
      <c r="E35" s="19"/>
      <c r="F35" s="19"/>
      <c r="G35" s="19"/>
      <c r="H35" s="19"/>
      <c r="I35" s="19"/>
      <c r="J35" s="19"/>
      <c r="K35" s="19"/>
      <c r="L35" s="19"/>
      <c r="M35" s="247"/>
      <c r="N35" s="19"/>
      <c r="O35" s="19"/>
      <c r="P35" s="319"/>
      <c r="Q35" s="19"/>
    </row>
    <row r="36" spans="2:17">
      <c r="B36" s="19"/>
      <c r="C36" s="19"/>
      <c r="D36" s="19"/>
      <c r="E36" s="19"/>
      <c r="F36" s="19"/>
      <c r="G36" s="19"/>
      <c r="H36" s="19"/>
      <c r="I36" s="19"/>
      <c r="J36" s="19"/>
      <c r="K36" s="19"/>
      <c r="L36" s="19"/>
      <c r="M36" s="247"/>
      <c r="N36" s="19"/>
      <c r="O36" s="19"/>
      <c r="P36" s="319"/>
      <c r="Q36" s="19"/>
    </row>
    <row r="37" spans="2:17">
      <c r="B37" s="19"/>
      <c r="C37" s="19"/>
      <c r="D37" s="19"/>
      <c r="E37" s="19"/>
      <c r="F37" s="19"/>
      <c r="G37" s="19"/>
      <c r="H37" s="19"/>
      <c r="I37" s="19"/>
      <c r="J37" s="19"/>
      <c r="K37" s="19"/>
      <c r="L37" s="19"/>
      <c r="M37" s="247"/>
      <c r="N37" s="19"/>
      <c r="O37" s="19"/>
      <c r="P37" s="319"/>
      <c r="Q37" s="19"/>
    </row>
    <row r="38" spans="2:17">
      <c r="B38" s="19"/>
      <c r="C38" s="19"/>
      <c r="D38" s="19"/>
      <c r="E38" s="19"/>
      <c r="F38" s="19"/>
      <c r="G38" s="19"/>
      <c r="H38" s="19"/>
      <c r="I38" s="19"/>
      <c r="J38" s="19"/>
      <c r="K38" s="19"/>
      <c r="L38" s="19"/>
      <c r="M38" s="247"/>
      <c r="N38" s="19"/>
      <c r="O38" s="19"/>
      <c r="P38" s="319"/>
      <c r="Q38" s="19"/>
    </row>
    <row r="39" spans="2:17">
      <c r="B39" s="19"/>
      <c r="C39" s="19"/>
      <c r="D39" s="19"/>
      <c r="E39" s="19"/>
      <c r="F39" s="19"/>
      <c r="G39" s="19"/>
      <c r="H39" s="19"/>
      <c r="I39" s="19"/>
      <c r="J39" s="19"/>
      <c r="K39" s="19"/>
      <c r="L39" s="19"/>
      <c r="M39" s="247"/>
      <c r="N39" s="19"/>
      <c r="O39" s="19"/>
      <c r="P39" s="319"/>
      <c r="Q39" s="19"/>
    </row>
    <row r="40" spans="2:17">
      <c r="B40" s="19"/>
      <c r="C40" s="19"/>
      <c r="D40" s="19"/>
      <c r="E40" s="19"/>
      <c r="F40" s="19"/>
      <c r="G40" s="19"/>
      <c r="H40" s="19"/>
      <c r="I40" s="19"/>
      <c r="J40" s="19"/>
      <c r="K40" s="19"/>
      <c r="L40" s="19"/>
      <c r="M40" s="230"/>
      <c r="N40" s="19"/>
      <c r="O40" s="19"/>
      <c r="P40" s="319"/>
      <c r="Q40" s="19"/>
    </row>
  </sheetData>
  <mergeCells count="5">
    <mergeCell ref="B2:D2"/>
    <mergeCell ref="E2:G2"/>
    <mergeCell ref="H2:J2"/>
    <mergeCell ref="K2:L2"/>
    <mergeCell ref="N2:Q2"/>
  </mergeCells>
  <phoneticPr fontId="20"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C81AED5F65C44F80CF6B62AD5ED0C4" ma:contentTypeVersion="16" ma:contentTypeDescription="Create a new document." ma:contentTypeScope="" ma:versionID="9a49418464aafd52186ea65bafc89593">
  <xsd:schema xmlns:xsd="http://www.w3.org/2001/XMLSchema" xmlns:xs="http://www.w3.org/2001/XMLSchema" xmlns:p="http://schemas.microsoft.com/office/2006/metadata/properties" xmlns:ns2="620a89a6-9d8c-4aec-a1b5-b8f92199351a" xmlns:ns3="792742ab-0c37-4031-8ece-c8ef841a946d" targetNamespace="http://schemas.microsoft.com/office/2006/metadata/properties" ma:root="true" ma:fieldsID="845fd3facffdd0489e1c42ae2ecce8af" ns2:_="" ns3:_="">
    <xsd:import namespace="620a89a6-9d8c-4aec-a1b5-b8f92199351a"/>
    <xsd:import namespace="792742ab-0c37-4031-8ece-c8ef841a946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SearchProperties" minOccurs="0"/>
                <xsd:element ref="ns2:AffectReview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0a89a6-9d8c-4aec-a1b5-b8f92199351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5038fd6-02aa-484c-b5d2-5fd893061a8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AffectReviewComments" ma:index="23" nillable="true" ma:displayName="Affect Review Comments" ma:format="Dropdown" ma:internalName="AffectReview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2742ab-0c37-4031-8ece-c8ef841a946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2d293f2-6446-46e9-a4b5-b33820054dfa}" ma:internalName="TaxCatchAll" ma:showField="CatchAllData" ma:web="792742ab-0c37-4031-8ece-c8ef841a946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92742ab-0c37-4031-8ece-c8ef841a946d" xsi:nil="true"/>
    <lcf76f155ced4ddcb4097134ff3c332f xmlns="620a89a6-9d8c-4aec-a1b5-b8f92199351a">
      <Terms xmlns="http://schemas.microsoft.com/office/infopath/2007/PartnerControls"/>
    </lcf76f155ced4ddcb4097134ff3c332f>
    <AffectReviewComments xmlns="620a89a6-9d8c-4aec-a1b5-b8f92199351a" xsi:nil="true"/>
  </documentManagement>
</p:properties>
</file>

<file path=customXml/itemProps1.xml><?xml version="1.0" encoding="utf-8"?>
<ds:datastoreItem xmlns:ds="http://schemas.openxmlformats.org/officeDocument/2006/customXml" ds:itemID="{4364B218-B3C7-4249-B097-D3E667EF41AD}"/>
</file>

<file path=customXml/itemProps2.xml><?xml version="1.0" encoding="utf-8"?>
<ds:datastoreItem xmlns:ds="http://schemas.openxmlformats.org/officeDocument/2006/customXml" ds:itemID="{BAB7A6F3-E876-4B70-8E11-66D93BD6E888}"/>
</file>

<file path=customXml/itemProps3.xml><?xml version="1.0" encoding="utf-8"?>
<ds:datastoreItem xmlns:ds="http://schemas.openxmlformats.org/officeDocument/2006/customXml" ds:itemID="{C0C5F362-0375-4B59-9A9A-AE722C4B8B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Cathal Egan</dc:creator>
  <cp:keywords/>
  <dc:description/>
  <cp:lastModifiedBy>Ileana Aguirre</cp:lastModifiedBy>
  <cp:revision/>
  <dcterms:created xsi:type="dcterms:W3CDTF">2025-03-01T17:49:22Z</dcterms:created>
  <dcterms:modified xsi:type="dcterms:W3CDTF">2026-02-11T21:32:48Z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0x010100C1C81AED5F65C44F80CF6B62AD5ED0C4</vt:lpwstr>
  </property>
  <property fmtid="{D5CDD505-2E9C-101B-9397-08002B2CF9AE}" pid="3" name="MediaServiceImageTags">
    <vt:lpwstr/>
  </property>
</Properties>
</file>