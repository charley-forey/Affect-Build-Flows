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christophermayer/Library/CloudStorage/OneDrive-AffectBuildLLC 2/Automations/PEP Build/"/>
    </mc:Choice>
  </mc:AlternateContent>
  <xr:revisionPtr revIDLastSave="0" documentId="8_{D1660B12-A6B5-FA46-85FE-EA444BC255E3}" xr6:coauthVersionLast="47" xr6:coauthVersionMax="47" xr10:uidLastSave="{00000000-0000-0000-0000-000000000000}"/>
  <bookViews>
    <workbookView xWindow="2160" yWindow="660" windowWidth="28460" windowHeight="16760" firstSheet="20" activeTab="21" xr2:uid="{54352499-DC71-E74D-AFAD-09E5B7D3FBCE}"/>
  </bookViews>
  <sheets>
    <sheet name="COVER" sheetId="6" r:id="rId1"/>
    <sheet name="DASHBOARD" sheetId="7" r:id="rId2"/>
    <sheet name="Project Identifiers" sheetId="2" r:id="rId3"/>
    <sheet name="DFOW Risk Register" sheetId="8" r:id="rId4"/>
    <sheet name="ITP" sheetId="9" r:id="rId5"/>
    <sheet name="Path to TCO" sheetId="10" r:id="rId6"/>
    <sheet name="Path to Fire Alarm" sheetId="11" r:id="rId7"/>
    <sheet name="DOH Checklist" sheetId="44" r:id="rId8"/>
    <sheet name="Statutory Inspections" sheetId="12" r:id="rId9"/>
    <sheet name="Special Inspections" sheetId="13" r:id="rId10"/>
    <sheet name="Inspector Sign-In" sheetId="14" r:id="rId11"/>
    <sheet name="Commissioning" sheetId="15" r:id="rId12"/>
    <sheet name="Submittals &amp; Mockups" sheetId="16" r:id="rId13"/>
    <sheet name="Checklist" sheetId="4" r:id="rId14"/>
    <sheet name="Sample Size" sheetId="3" r:id="rId15"/>
    <sheet name="FlowChart" sheetId="1" r:id="rId16"/>
    <sheet name="NCR Log" sheetId="5" state="hidden" r:id="rId17"/>
    <sheet name="Punch &amp; RCL Log" sheetId="17" r:id="rId18"/>
    <sheet name="Excavation" sheetId="18" r:id="rId19"/>
    <sheet name="Concrete Formwork" sheetId="19" r:id="rId20"/>
    <sheet name="Conc Reinforcement" sheetId="20" r:id="rId21"/>
    <sheet name="CIP Concrete" sheetId="21" r:id="rId22"/>
    <sheet name="Precast Concrete" sheetId="22" r:id="rId23"/>
    <sheet name="Unit Masonry" sheetId="23" r:id="rId24"/>
    <sheet name="Metal Deck" sheetId="24" r:id="rId25"/>
    <sheet name="Slab on Grade" sheetId="25" r:id="rId26"/>
    <sheet name="Slab on Deck" sheetId="26" r:id="rId27"/>
    <sheet name="Waterproofing" sheetId="27" r:id="rId28"/>
    <sheet name="Drywall Framing" sheetId="28" r:id="rId29"/>
    <sheet name="Drywall Board" sheetId="29" r:id="rId30"/>
    <sheet name="Firestopping" sheetId="30" r:id="rId31"/>
    <sheet name="Metal Frames" sheetId="31" r:id="rId32"/>
    <sheet name="Metal Doors" sheetId="32" r:id="rId33"/>
    <sheet name="Doors &amp; Hardware" sheetId="33" r:id="rId34"/>
    <sheet name="Tile &amp; Stone" sheetId="34" r:id="rId35"/>
    <sheet name="Resilient Flooring" sheetId="35" r:id="rId36"/>
    <sheet name="ACT Ceilings" sheetId="36" r:id="rId37"/>
    <sheet name="Millwork &amp; Casework" sheetId="37" r:id="rId38"/>
    <sheet name="Painting" sheetId="38" r:id="rId39"/>
    <sheet name="Electrical" sheetId="39" r:id="rId40"/>
    <sheet name="Plumbing" sheetId="40" r:id="rId41"/>
    <sheet name="HVAC &amp; Ductwork" sheetId="41" r:id="rId42"/>
    <sheet name="Fire Sprinkler" sheetId="42" r:id="rId43"/>
    <sheet name="Fire Alarm" sheetId="43" r:id="rId4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7" l="1"/>
  <c r="K16" i="10"/>
  <c r="G4" i="10"/>
  <c r="C6" i="7" s="1"/>
  <c r="E4" i="10"/>
  <c r="F15" i="7"/>
  <c r="E15" i="7"/>
  <c r="D15" i="7"/>
  <c r="C15" i="7"/>
  <c r="B15" i="7"/>
  <c r="B4" i="44"/>
  <c r="H4" i="44"/>
  <c r="D4" i="44"/>
  <c r="B30" i="7"/>
  <c r="G50" i="13"/>
  <c r="G51" i="13"/>
  <c r="G52" i="13"/>
  <c r="G53" i="13"/>
  <c r="G54" i="13"/>
  <c r="G55" i="13"/>
  <c r="G56" i="13"/>
  <c r="G57" i="13"/>
  <c r="G58" i="13"/>
  <c r="G59" i="13"/>
  <c r="G60" i="13"/>
  <c r="F60" i="13"/>
  <c r="C60" i="13"/>
  <c r="E14" i="7"/>
  <c r="C14" i="7"/>
  <c r="B14" i="7"/>
  <c r="D59" i="7"/>
  <c r="E59" i="7"/>
  <c r="F59" i="7"/>
  <c r="G59" i="7"/>
  <c r="D33" i="7"/>
  <c r="E33" i="7"/>
  <c r="F33" i="7"/>
  <c r="G33" i="7"/>
  <c r="D34" i="7"/>
  <c r="E34" i="7"/>
  <c r="F34" i="7"/>
  <c r="G34" i="7"/>
  <c r="D35" i="7"/>
  <c r="G35" i="7" s="1"/>
  <c r="E35" i="7"/>
  <c r="F35" i="7"/>
  <c r="D36" i="7"/>
  <c r="E36" i="7"/>
  <c r="F36" i="7"/>
  <c r="G36" i="7"/>
  <c r="D37" i="7"/>
  <c r="G37" i="7" s="1"/>
  <c r="E37" i="7"/>
  <c r="F37" i="7"/>
  <c r="D38" i="7"/>
  <c r="E38" i="7"/>
  <c r="F38" i="7"/>
  <c r="G38" i="7"/>
  <c r="D39" i="7"/>
  <c r="E39" i="7"/>
  <c r="F39" i="7"/>
  <c r="G39" i="7"/>
  <c r="D40" i="7"/>
  <c r="G40" i="7" s="1"/>
  <c r="E40" i="7"/>
  <c r="F40" i="7"/>
  <c r="D41" i="7"/>
  <c r="E41" i="7"/>
  <c r="F41" i="7"/>
  <c r="G41" i="7"/>
  <c r="D42" i="7"/>
  <c r="G42" i="7" s="1"/>
  <c r="E42" i="7"/>
  <c r="F42" i="7"/>
  <c r="D43" i="7"/>
  <c r="E43" i="7"/>
  <c r="F43" i="7"/>
  <c r="G43" i="7"/>
  <c r="D44" i="7"/>
  <c r="E44" i="7"/>
  <c r="F44" i="7"/>
  <c r="G44" i="7"/>
  <c r="D45" i="7"/>
  <c r="G45" i="7" s="1"/>
  <c r="E45" i="7"/>
  <c r="F45" i="7"/>
  <c r="D46" i="7"/>
  <c r="E46" i="7"/>
  <c r="F46" i="7"/>
  <c r="G46" i="7"/>
  <c r="D47" i="7"/>
  <c r="G47" i="7" s="1"/>
  <c r="E47" i="7"/>
  <c r="F47" i="7"/>
  <c r="D48" i="7"/>
  <c r="E48" i="7"/>
  <c r="F48" i="7"/>
  <c r="G48" i="7"/>
  <c r="D49" i="7"/>
  <c r="E49" i="7"/>
  <c r="F49" i="7"/>
  <c r="G49" i="7"/>
  <c r="D50" i="7"/>
  <c r="G50" i="7" s="1"/>
  <c r="E50" i="7"/>
  <c r="F50" i="7"/>
  <c r="D51" i="7"/>
  <c r="E51" i="7"/>
  <c r="F51" i="7"/>
  <c r="G51" i="7"/>
  <c r="D52" i="7"/>
  <c r="G52" i="7" s="1"/>
  <c r="E52" i="7"/>
  <c r="F52" i="7"/>
  <c r="D53" i="7"/>
  <c r="E53" i="7"/>
  <c r="F53" i="7"/>
  <c r="G53" i="7"/>
  <c r="D54" i="7"/>
  <c r="E54" i="7"/>
  <c r="F54" i="7"/>
  <c r="G54" i="7"/>
  <c r="D55" i="7"/>
  <c r="G55" i="7" s="1"/>
  <c r="E55" i="7"/>
  <c r="F55" i="7"/>
  <c r="D56" i="7"/>
  <c r="E56" i="7"/>
  <c r="F56" i="7"/>
  <c r="G56" i="7"/>
  <c r="D57" i="7"/>
  <c r="G57" i="7" s="1"/>
  <c r="E57" i="7"/>
  <c r="F57" i="7"/>
  <c r="D58" i="7"/>
  <c r="E58" i="7"/>
  <c r="F58" i="7"/>
  <c r="G58" i="7"/>
  <c r="B20" i="7"/>
  <c r="B22" i="7"/>
  <c r="B24" i="7"/>
  <c r="B25" i="7"/>
  <c r="B26" i="7"/>
  <c r="B28" i="7"/>
  <c r="B29" i="7"/>
  <c r="B6" i="7"/>
  <c r="B7" i="7"/>
  <c r="D7" i="7" s="1"/>
  <c r="C7" i="7"/>
  <c r="E7" i="7"/>
  <c r="B8" i="7"/>
  <c r="C8" i="7"/>
  <c r="D8" i="7" s="1"/>
  <c r="E8" i="7"/>
  <c r="F8" i="7"/>
  <c r="C9" i="7"/>
  <c r="B10" i="7"/>
  <c r="C10" i="7"/>
  <c r="D10" i="7" s="1"/>
  <c r="E10" i="7"/>
  <c r="B11" i="7"/>
  <c r="F11" i="7" s="1"/>
  <c r="C11" i="7"/>
  <c r="D11" i="7" s="1"/>
  <c r="E11" i="7"/>
  <c r="B12" i="7"/>
  <c r="C12" i="7"/>
  <c r="D12" i="7"/>
  <c r="E12" i="7"/>
  <c r="F12" i="7"/>
  <c r="B13" i="7"/>
  <c r="C13" i="7"/>
  <c r="D13" i="7" s="1"/>
  <c r="F13" i="7"/>
  <c r="J6" i="43"/>
  <c r="H6" i="43"/>
  <c r="F6" i="43"/>
  <c r="D6" i="43"/>
  <c r="J6" i="42"/>
  <c r="H6" i="42"/>
  <c r="F6" i="42"/>
  <c r="D6" i="42"/>
  <c r="J6" i="41"/>
  <c r="H6" i="41"/>
  <c r="F6" i="41"/>
  <c r="D6" i="41"/>
  <c r="J6" i="40"/>
  <c r="H6" i="40"/>
  <c r="F6" i="40"/>
  <c r="D6" i="40"/>
  <c r="J6" i="39"/>
  <c r="H6" i="39"/>
  <c r="F6" i="39"/>
  <c r="D6" i="39"/>
  <c r="J6" i="38"/>
  <c r="H6" i="38"/>
  <c r="F6" i="38"/>
  <c r="D6" i="38"/>
  <c r="J6" i="37"/>
  <c r="H6" i="37"/>
  <c r="F6" i="37"/>
  <c r="D6" i="37"/>
  <c r="J6" i="36"/>
  <c r="H6" i="36"/>
  <c r="F6" i="36"/>
  <c r="D6" i="36"/>
  <c r="J6" i="35"/>
  <c r="H6" i="35"/>
  <c r="F6" i="35"/>
  <c r="D6" i="35"/>
  <c r="J6" i="34"/>
  <c r="H6" i="34"/>
  <c r="F6" i="34"/>
  <c r="D6" i="34"/>
  <c r="J6" i="33"/>
  <c r="H6" i="33"/>
  <c r="F6" i="33"/>
  <c r="D6" i="33"/>
  <c r="J6" i="32"/>
  <c r="H6" i="32"/>
  <c r="F6" i="32"/>
  <c r="D6" i="32"/>
  <c r="J6" i="31"/>
  <c r="H6" i="31"/>
  <c r="F6" i="31"/>
  <c r="D6" i="31"/>
  <c r="J6" i="30"/>
  <c r="H6" i="30"/>
  <c r="F6" i="30"/>
  <c r="D6" i="30"/>
  <c r="J6" i="29"/>
  <c r="H6" i="29"/>
  <c r="F6" i="29"/>
  <c r="D6" i="29"/>
  <c r="J6" i="28"/>
  <c r="H6" i="28"/>
  <c r="F6" i="28"/>
  <c r="D6" i="28"/>
  <c r="J6" i="27"/>
  <c r="H6" i="27"/>
  <c r="F6" i="27"/>
  <c r="D6" i="27"/>
  <c r="J6" i="26"/>
  <c r="H6" i="26"/>
  <c r="F6" i="26"/>
  <c r="D6" i="26"/>
  <c r="J6" i="25"/>
  <c r="H6" i="25"/>
  <c r="F6" i="25"/>
  <c r="D6" i="25"/>
  <c r="J6" i="24"/>
  <c r="H6" i="24"/>
  <c r="F6" i="24"/>
  <c r="D6" i="24"/>
  <c r="J6" i="23"/>
  <c r="H6" i="23"/>
  <c r="F6" i="23"/>
  <c r="D6" i="23"/>
  <c r="J6" i="22"/>
  <c r="H6" i="22"/>
  <c r="F6" i="22"/>
  <c r="D6" i="22"/>
  <c r="J6" i="21"/>
  <c r="H6" i="21"/>
  <c r="F6" i="21"/>
  <c r="D6" i="21"/>
  <c r="J6" i="20"/>
  <c r="H6" i="20"/>
  <c r="F6" i="20"/>
  <c r="D6" i="20"/>
  <c r="J6" i="19"/>
  <c r="H6" i="19"/>
  <c r="F6" i="19"/>
  <c r="D6" i="19"/>
  <c r="J6" i="18"/>
  <c r="H6" i="18"/>
  <c r="F6" i="18"/>
  <c r="D6" i="18"/>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N4" i="17"/>
  <c r="I4" i="17" a="1"/>
  <c r="F4" i="17"/>
  <c r="D4" i="17"/>
  <c r="B4" i="17"/>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K4" i="5"/>
  <c r="H4" i="5" a="1"/>
  <c r="B23" i="7" s="1"/>
  <c r="F4" i="5"/>
  <c r="D4" i="5"/>
  <c r="B4" i="5"/>
  <c r="L4" i="16"/>
  <c r="G4" i="16"/>
  <c r="D4" i="16"/>
  <c r="B4" i="16"/>
  <c r="I4" i="16" s="1"/>
  <c r="J4" i="15"/>
  <c r="G4" i="15"/>
  <c r="D4" i="15"/>
  <c r="B4" i="15"/>
  <c r="M4" i="15" s="1"/>
  <c r="L4" i="13"/>
  <c r="F4" i="13"/>
  <c r="E9" i="7" s="1"/>
  <c r="D4" i="13"/>
  <c r="B4" i="13"/>
  <c r="I4" i="13" s="1"/>
  <c r="K4" i="12"/>
  <c r="F4" i="12"/>
  <c r="D4" i="12"/>
  <c r="B4" i="12"/>
  <c r="H4" i="12" s="1"/>
  <c r="K4" i="11"/>
  <c r="H4" i="11"/>
  <c r="D4" i="11"/>
  <c r="K9" i="10"/>
  <c r="K10" i="10"/>
  <c r="K11" i="10"/>
  <c r="K12" i="10"/>
  <c r="K13" i="10"/>
  <c r="K14" i="10"/>
  <c r="K15"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C4" i="10"/>
  <c r="B18" i="7" s="1"/>
  <c r="B19" i="7" s="1"/>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K4" i="10" l="1"/>
  <c r="J4" i="44"/>
  <c r="F4" i="44"/>
  <c r="B9" i="7"/>
  <c r="F9" i="7" s="1"/>
  <c r="D14" i="7"/>
  <c r="F14" i="7"/>
  <c r="F7" i="7"/>
  <c r="F10" i="7"/>
  <c r="L4" i="17"/>
  <c r="B27" i="7" s="1"/>
  <c r="I4" i="10"/>
  <c r="D6" i="7" s="1"/>
  <c r="F6" i="7" l="1"/>
  <c r="B21" i="7"/>
  <c r="D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<sst xmlns="http://schemas.openxmlformats.org/spreadsheetml/2006/main" count="5258" uniqueCount="2744">
  <si>
    <t>PROJECT QUALITY PLAN (PQP)</t>
  </si>
  <si>
    <t>SaunaLounge — 45 South 3rd Street, Ground Floor, Brooklyn NY 11249</t>
  </si>
  <si>
    <t>Project-Specific QA/QC, Special Inspection &amp; Statutory Sign-Off Plan</t>
  </si>
  <si>
    <t>A1 — PROJECT OVERVIEW</t>
  </si>
  <si>
    <t>Project Name</t>
  </si>
  <si>
    <t>SaunaLounge</t>
  </si>
  <si>
    <t>Project Location</t>
  </si>
  <si>
    <t>45 South 3rd Street, Ground Floor, Brooklyn, NY 11249 — within The 360 Wythe Condominium</t>
  </si>
  <si>
    <t>Project Type</t>
  </si>
  <si>
    <t>Ground-floor interior tenant fitout — 5,783 SF wellness / spa (sauna, cold plunge, pool, locker rooms, lounge, bar, kitchen)</t>
  </si>
  <si>
    <t>Owner / Client</t>
  </si>
  <si>
    <t>Saunalounge, LLC  (Teal Development / JLKing Consulting)</t>
  </si>
  <si>
    <t>Client Rep: Jeffrey Aser, Teal Development Partners — 914.319.7493, jeff@tealdevelopment.com</t>
  </si>
  <si>
    <t>Landlord / Condominium</t>
  </si>
  <si>
    <t>FREEWYTHE, LLC  |  The 360 Wythe Condominium Board of Managers</t>
  </si>
  <si>
    <t>Construction Manager</t>
  </si>
  <si>
    <t>Affect Build, LLC — 389 5th Avenue, Suite 504, New York, NY 10016</t>
  </si>
  <si>
    <t>Contract Type</t>
  </si>
  <si>
    <t>AIA Document A104™–2017, Standard Abbreviated Form, Exhibits A–I</t>
  </si>
  <si>
    <t>Contract Sum</t>
  </si>
  <si>
    <t>$3,526,451.50  (incl. $247,968.00 Limited Work / early-release HVAC)</t>
  </si>
  <si>
    <t>Contract Executed</t>
  </si>
  <si>
    <t>Owner 6/19/2026  |  Contractor 6/22/2026</t>
  </si>
  <si>
    <t>Project Duration</t>
  </si>
  <si>
    <t>6/19/2026 – 1/6/2027  (144 calendar days; 3 weeks preconstruction + 26 weeks on site)</t>
  </si>
  <si>
    <t>Target Substantial Completion</t>
  </si>
  <si>
    <t>Affect Build Job Number</t>
  </si>
  <si>
    <t>DOB Job / Filing Number</t>
  </si>
  <si>
    <t>PROJECT QUALITY TEAM (Q-TEAM)</t>
  </si>
  <si>
    <t>Project Manager</t>
  </si>
  <si>
    <t>Illeana Aguire</t>
  </si>
  <si>
    <t>QA owner: ensures submittals / shop drawings approved prior to procurement and installation; engages testing and inspection agencies; issues NCRs</t>
  </si>
  <si>
    <t>Site Superintendent</t>
  </si>
  <si>
    <t>Nicholas Scarmacca</t>
  </si>
  <si>
    <t>QC owner in the field: on-site QC lead; coordinates inspections 48–72 hrs in advance; verifies readiness; maintains the inspector sign-in log</t>
  </si>
  <si>
    <t>Assistant Project Manager</t>
  </si>
  <si>
    <t>Hugh McDonagh</t>
  </si>
  <si>
    <t>Maintains submittal, ITP and inspection registers in Procore; tracks report receipt and closure</t>
  </si>
  <si>
    <t>Director of Construction</t>
  </si>
  <si>
    <t>Enda Forrey</t>
  </si>
  <si>
    <t>Accountability: verifies benchmarks are established and documented, quality records maintained and procedures followed; escalation point for repeat deficiencies</t>
  </si>
  <si>
    <t>Architect of Record</t>
  </si>
  <si>
    <t>Colberg Architecture</t>
  </si>
  <si>
    <t>Required at First Work Review for Tier 3 / Tier 4 DFOWs</t>
  </si>
  <si>
    <t>MEP / FP Engineer</t>
  </si>
  <si>
    <t>Collectif</t>
  </si>
  <si>
    <t>TR8 mechanical / energy code special inspections</t>
  </si>
  <si>
    <t>Special Inspections Agency</t>
  </si>
  <si>
    <t>CodeGreen Inspection (CGI)</t>
  </si>
  <si>
    <t>TR1 / TR2 / TR3 / TR8 · Matrix ref. 2026-0401 · 12 budgeted site visits · allow min. 2–3 days to schedule</t>
  </si>
  <si>
    <t>Testing Laboratory</t>
  </si>
  <si>
    <t>Concrete testing — to be engaged; enter laboratory name</t>
  </si>
  <si>
    <t>Commissioning Agent</t>
  </si>
  <si>
    <t>Owner's CA if appointed</t>
  </si>
  <si>
    <t>Owner's Separate Trades</t>
  </si>
  <si>
    <t>Pool shell, sauna assemblies, cold plunge basin (Contract §12.4)</t>
  </si>
  <si>
    <t>Affect Build provides rough-in, coordination and finish trades only; inspects its own interfaces</t>
  </si>
  <si>
    <t>GOVERNING DOCUMENTS &amp; HIERARCHY</t>
  </si>
  <si>
    <t>Contract Documents — AIA A104–2017 and Exhibits A–I</t>
  </si>
  <si>
    <t>Order of precedence per CMP §2.2</t>
  </si>
  <si>
    <t>Vision Zero QA/QC Playbook v2.0 (governing quality document)</t>
  </si>
  <si>
    <t>Supersedes all prior QA/QC guidance</t>
  </si>
  <si>
    <t>Construction Management Plan — SaunaLounge (DRAFT)</t>
  </si>
  <si>
    <t>Sections 7, 8, 9, 12, 19, 20</t>
  </si>
  <si>
    <t>Affect Trainual SOPs — Quality Management; Submittals &amp; Inspections</t>
  </si>
  <si>
    <t>Read alongside the Playbook</t>
  </si>
  <si>
    <t>NYC Building Code Chapter 17 (Special Inspections) and Chapter 33</t>
  </si>
  <si>
    <t>TR1 / TR8 filings via DOB NOW</t>
  </si>
  <si>
    <t>NYC DOH Pool / Spa requirements; FDNY rules; NFPA 13 and NFPA 72</t>
  </si>
  <si>
    <t>Life safety and pool sign-off</t>
  </si>
  <si>
    <t>QUALITY FRAMEWORK — HOW THIS WORKBOOK IS USED</t>
  </si>
  <si>
    <t>Four Phases of Control</t>
  </si>
  <si>
    <t>Every DFOW: Phase 1 Preparatory → Phase 2 Work Readiness → Phase 3 First Work Review → Phase 4 Follow-Up</t>
  </si>
  <si>
    <t>Tracked on the DFOW Risk Register</t>
  </si>
  <si>
    <t>DFOW Risk Tiers</t>
  </si>
  <si>
    <t>Tier 4 Critical (daily follow-up, dual sign-off) · Tier 3 High (every other day, A/E at First Work Review) · Tier 2 Moderate (weekly) · Tier 1 Low (at completion)</t>
  </si>
  <si>
    <t>Tier drives inspection intensity</t>
  </si>
  <si>
    <t>Hold vs Witness Points</t>
  </si>
  <si>
    <t>HOLD — work stops until signed off, no exceptions. WITNESS — 48 hrs notice; work may proceed if witness does not attend after written notice</t>
  </si>
  <si>
    <t>Defined per test on the ITP</t>
  </si>
  <si>
    <t>Benchmark Hold Points (CMP §8.4)</t>
  </si>
  <si>
    <t>Pre-cover before drywall · Waterproofing before backfill at pool equipment room · Above-ceiling before tile / grid close-up · Interface at Owner's pool / sauna assemblies</t>
  </si>
  <si>
    <t>Non-negotiable</t>
  </si>
  <si>
    <t>Non-Conformance</t>
  </si>
  <si>
    <t>Seven-step NCR process; NCRs closed before the next progress billing is approved</t>
  </si>
  <si>
    <t>NCR Log tab</t>
  </si>
  <si>
    <t>Punch</t>
  </si>
  <si>
    <t>Four phases: Trade Self-Punch → Affect Build Review → Owner / A/E Walk → Back Punch. Zero Punch is the objective</t>
  </si>
  <si>
    <t>Punch &amp; RCL Log tab</t>
  </si>
  <si>
    <t>System of Record</t>
  </si>
  <si>
    <t>Procore is the mandatory system of record. This workbook is the project control and reporting mirror</t>
  </si>
  <si>
    <t>Playbook Quality Policy</t>
  </si>
  <si>
    <t>WORKBOOK CONTENTS</t>
  </si>
  <si>
    <t>DASHBOARD</t>
  </si>
  <si>
    <t>Single-page roll-up of all Quality, Special and Statutory inspection status</t>
  </si>
  <si>
    <t>DFOW Risk Register</t>
  </si>
  <si>
    <t>32 SaunaLounge DFOWs with risk tier, hold points, special inspection requirement and phase tracking</t>
  </si>
  <si>
    <t>ITP</t>
  </si>
  <si>
    <t>Inspection &amp; Testing Plan — 31 tests with acceptance criteria and Hold / Witness designation</t>
  </si>
  <si>
    <t>Path to TCO</t>
  </si>
  <si>
    <t>45 sequenced statutory gates from permit issuance to Certificate of Occupancy</t>
  </si>
  <si>
    <t>Path to Fire Alarm</t>
  </si>
  <si>
    <t>23-step FDNY Letter of Approval pathway</t>
  </si>
  <si>
    <t>Statutory Inspections</t>
  </si>
  <si>
    <t>DOB · FDNY · DOH · DEP · Con Edison / National Grid inspection and approval log</t>
  </si>
  <si>
    <t>Special Inspections</t>
  </si>
  <si>
    <t>NYC BC Chapter 17 — TR1 / TR2 / TR3 / TR8 log with hold points and report tracking</t>
  </si>
  <si>
    <t>CodeGreen (CGI) budgeted programme block at rows 48-60</t>
  </si>
  <si>
    <t>Inspector Sign-In</t>
  </si>
  <si>
    <t>Mandatory physical inspector sign-in log (digital mirror)</t>
  </si>
  <si>
    <t>Commissioning</t>
  </si>
  <si>
    <t>Equipment-by-equipment start-up, FPT, TAB, training and turnover matrix</t>
  </si>
  <si>
    <t>Submittals &amp; Mockups</t>
  </si>
  <si>
    <t>Submittal, sample and mock-up register including 8 project mock-ups</t>
  </si>
  <si>
    <t>Checklist / Sample Size</t>
  </si>
  <si>
    <t>Existing DFOW checklist matrix and ANSI/ASQ inspection sample size chart</t>
  </si>
  <si>
    <t>NCR Log</t>
  </si>
  <si>
    <t>Observation / Non-Conformance Report log — seven-step process</t>
  </si>
  <si>
    <t>Punch &amp; RCL Log</t>
  </si>
  <si>
    <t>Punch list and Rolling Completion List with aging escalation</t>
  </si>
  <si>
    <t>Trade QC Checklists</t>
  </si>
  <si>
    <t>26 project-specific trade checklist tabs, each with Q-Team sign-off block</t>
  </si>
  <si>
    <t>DOH Checklist</t>
  </si>
  <si>
    <t>NYC DOHMH first-pass compliance checklist — 101 items across pool/spa (NYS Subpart 6-1, Health Code Art. 165) and food service (Art. 81), with responsibility split against Owner's Separate Trades</t>
  </si>
  <si>
    <t>QA/QC MASTER TRACKER — SAUNALOUNGE, 45 SOUTH 3RD STREET</t>
  </si>
  <si>
    <t>Comprehensive roll-up of Quality, Special and Statutory inspections. All figures are live formulas driven by the register tabs — update the registers, not this page.</t>
  </si>
  <si>
    <t>A.  PROGRAMME READINESS — STATUTORY, SPECIAL &amp; QUALITY REGISTERS</t>
  </si>
  <si>
    <t>Register</t>
  </si>
  <si>
    <t>Total</t>
  </si>
  <si>
    <t>Complete / Passed</t>
  </si>
  <si>
    <t>Open / Outstanding</t>
  </si>
  <si>
    <t>Failed / Blocked</t>
  </si>
  <si>
    <t>% Complete</t>
  </si>
  <si>
    <t>Where to update</t>
  </si>
  <si>
    <t>Path to TCO — statutory gates</t>
  </si>
  <si>
    <t>Path to TCO tab</t>
  </si>
  <si>
    <t>Path to Fire Alarm — FDNY LOA steps</t>
  </si>
  <si>
    <t>Path to Fire Alarm tab</t>
  </si>
  <si>
    <t>Statutory inspections &amp; agency approvals</t>
  </si>
  <si>
    <t>Statutory Inspections tab</t>
  </si>
  <si>
    <t>Special inspections (NYC BC Ch.17 — TR forms)</t>
  </si>
  <si>
    <t>Special Inspections tab</t>
  </si>
  <si>
    <t>ITP — tests &amp; inspections</t>
  </si>
  <si>
    <t>ITP tab</t>
  </si>
  <si>
    <t>Commissioning &amp; turnover — systems accepted</t>
  </si>
  <si>
    <t>Commissioning tab</t>
  </si>
  <si>
    <t>Submittals, samples &amp; mock-ups</t>
  </si>
  <si>
    <t>Submittals &amp; Mockups tab</t>
  </si>
  <si>
    <t>DFOW register — Phase 4 follow-up complete</t>
  </si>
  <si>
    <t>DFOW Risk Register tab</t>
  </si>
  <si>
    <t>Trade QC checklists — line items</t>
  </si>
  <si>
    <t>26 trade checklist tabs</t>
  </si>
  <si>
    <t>DOH compliance checklist (pool / spa + Article 81 food service)</t>
  </si>
  <si>
    <t>DOH Checklist tab — first pass; numeric criteria require confirmation by the Owner's DOH consultant</t>
  </si>
  <si>
    <t>B.  CRITICAL DATES &amp; QUALITY EXCEPTIONS</t>
  </si>
  <si>
    <t>Metric</t>
  </si>
  <si>
    <t>Value</t>
  </si>
  <si>
    <t>Standard / Action</t>
  </si>
  <si>
    <t>Per Exhibit E — CMP §2.1</t>
  </si>
  <si>
    <t>Calendar days remaining to Substantial Completion</t>
  </si>
  <si>
    <t>Live countdown</t>
  </si>
  <si>
    <t>Latest permissible FDNY fire alarm witness test date</t>
  </si>
  <si>
    <t>CMP §20.1 — minimum 2 weeks before SC to allow re-tests</t>
  </si>
  <si>
    <t>TCO readiness</t>
  </si>
  <si>
    <t>All gates must reach Complete before TCO filing</t>
  </si>
  <si>
    <t>Open NCRs / corrective actions</t>
  </si>
  <si>
    <t>Target ZERO. NCRs must close before the next progress billing is approved</t>
  </si>
  <si>
    <t>NCRs past target close date</t>
  </si>
  <si>
    <t>Escalate: 3-5 working days standard; Tier 4 within 72 hours</t>
  </si>
  <si>
    <t>Average days to close an NCR</t>
  </si>
  <si>
    <t>Tracked weekly at Q-Team meeting</t>
  </si>
  <si>
    <t>Open punch / RCL items</t>
  </si>
  <si>
    <t>Zero Punch is the objective (Playbook A9)</t>
  </si>
  <si>
    <t>Open punch items with life-safety / occupancy impact</t>
  </si>
  <si>
    <t>Correct within 48 hours</t>
  </si>
  <si>
    <t>Punch items aged over 7 days</t>
  </si>
  <si>
    <t>Beyond 5 days escalate to trade PM; beyond 7 days to trade executive</t>
  </si>
  <si>
    <t>Inspector sign-in entries recorded</t>
  </si>
  <si>
    <t>Mandatory for every DOB / FDNY / DOH / SIA / lab visit</t>
  </si>
  <si>
    <t>Tier 3 &amp; Tier 4 DFOWs (elevated control)</t>
  </si>
  <si>
    <t>Daily / every-other-day follow-up required</t>
  </si>
  <si>
    <t>CodeGreen (CGI) budgeted special inspection visits remaining</t>
  </si>
  <si>
    <t>12 visits budgeted per CGI matrix 2026-0401. Log each visit used on the Special Inspections tab (row 50-59)</t>
  </si>
  <si>
    <t>C.  TRADE QC CHECKLIST ROLL-UP  —  26 PROJECT-SPECIFIC CHECKLISTS</t>
  </si>
  <si>
    <t>Trade Checklist Tab</t>
  </si>
  <si>
    <t>DFOW Ref</t>
  </si>
  <si>
    <t>Risk Tier</t>
  </si>
  <si>
    <t>Checklist Items</t>
  </si>
  <si>
    <t>Pass</t>
  </si>
  <si>
    <t>Fail</t>
  </si>
  <si>
    <t>Excavation</t>
  </si>
  <si>
    <t>D-08</t>
  </si>
  <si>
    <t>Concrete Formwork</t>
  </si>
  <si>
    <t>D-07</t>
  </si>
  <si>
    <t>Conc Reinforcement</t>
  </si>
  <si>
    <t>CIP Concrete</t>
  </si>
  <si>
    <t>Precast Concrete</t>
  </si>
  <si>
    <t>Unit Masonry</t>
  </si>
  <si>
    <t>D-19</t>
  </si>
  <si>
    <t>Metal Deck</t>
  </si>
  <si>
    <t>D-18</t>
  </si>
  <si>
    <t>Slab on Grade</t>
  </si>
  <si>
    <t>Slab on Deck</t>
  </si>
  <si>
    <t>Waterproofing</t>
  </si>
  <si>
    <t>D-01 / D-02</t>
  </si>
  <si>
    <t>Drywall Framing</t>
  </si>
  <si>
    <t>Drywall Board</t>
  </si>
  <si>
    <t>D-20</t>
  </si>
  <si>
    <t>Firestopping</t>
  </si>
  <si>
    <t>D-15</t>
  </si>
  <si>
    <t>Metal Frames</t>
  </si>
  <si>
    <t>D-21</t>
  </si>
  <si>
    <t>Metal Doors</t>
  </si>
  <si>
    <t>Doors &amp; Hardware</t>
  </si>
  <si>
    <t>Tile &amp; Stone</t>
  </si>
  <si>
    <t>D-14</t>
  </si>
  <si>
    <t>Resilient Flooring</t>
  </si>
  <si>
    <t>D-27</t>
  </si>
  <si>
    <t>ACT Ceilings</t>
  </si>
  <si>
    <t>D-25</t>
  </si>
  <si>
    <t>Millwork &amp; Casework</t>
  </si>
  <si>
    <t>D-16</t>
  </si>
  <si>
    <t>Painting</t>
  </si>
  <si>
    <t>D-28</t>
  </si>
  <si>
    <t>Electrical</t>
  </si>
  <si>
    <t>D-05</t>
  </si>
  <si>
    <t>Plumbing</t>
  </si>
  <si>
    <t>D-06 / D-13</t>
  </si>
  <si>
    <t>HVAC &amp; Ductwork</t>
  </si>
  <si>
    <t>D-10 / D-11</t>
  </si>
  <si>
    <t>Fire Sprinkler</t>
  </si>
  <si>
    <t>D-04</t>
  </si>
  <si>
    <t>Fire Alarm</t>
  </si>
  <si>
    <t>D-03</t>
  </si>
  <si>
    <t>TOTAL — ALL TRADE CHECKLISTS</t>
  </si>
  <si>
    <t>SAUNALOUNGE — PROJECT IDENTIFIERS &amp; Q-TEAM RESPONSIBILITY MATRIX</t>
  </si>
  <si>
    <t>45 South 3rd Street, Ground Floor, Brooklyn NY 11249  |  Affect Build, LLC  |  Precon tool used to fix roles and responsibilities of the Q-Team. The Q-Team then collaboratively populates the QA activity matrix below, which drives the Checklist, NCR, Control Samples, Mock-Ups, Punchlist Walks and Monthly QA Reviews.</t>
  </si>
  <si>
    <t>A.  Q-TEAM MEMBERS &amp; RESPONSIBILITIES</t>
  </si>
  <si>
    <t>Role</t>
  </si>
  <si>
    <t>Name</t>
  </si>
  <si>
    <t>B.  QA/QC ACTIVITY &amp; GOVERNANCE MATRIX</t>
  </si>
  <si>
    <t>Type</t>
  </si>
  <si>
    <t>Requirement</t>
  </si>
  <si>
    <t>Tool / Format</t>
  </si>
  <si>
    <t>Sign-Off</t>
  </si>
  <si>
    <t>Stored Where</t>
  </si>
  <si>
    <t>First Delivery Inspection</t>
  </si>
  <si>
    <t>HVAC equipment (RT-1, PDU-1, ERV-1/2, AC-1 to AC-5)
Switchgear &amp; panels (SWBD-1, MP-1, KP-1, LP-1, RP-1)
Rheem tankless water heaters + ST-120 tank
Waterproofing membrane system
Tile &amp; stone (TL-1, TL-2, TL-3)
Millwork &amp; casework
Doors, frames &amp; hardware
Sprinkler heads (87)
Fire alarm devices (FACP / RAN)
ACT ceiling panels &amp; grid
Plumbing fixtures (incl. Kohler substitution)
Lighting fixtures &amp; controls
Glass block
Wood flooring</t>
  </si>
  <si>
    <t>Procore Inspection Checklist</t>
  </si>
  <si>
    <t>Superintendent / Trade Partner</t>
  </si>
  <si>
    <t>Procore — Inspections</t>
  </si>
  <si>
    <t>Benchmark Inspection</t>
  </si>
  <si>
    <t>Wet-area waterproofing (locker rooms, showers, pool deck)
Waterproofing interface at Owner's pool / sauna assemblies
Pool equipment room slab &amp; CIP concrete
Metal stud framing (barrel vault, soffits)
GWB Level 5 skim finish
Tile &amp; stone (each type)
Polished / sealed concrete at BOH
Firestopping (typical rated penetration)
Millwork (locker unit, reception desk)
Doors &amp; hardware
Painting &amp; wall coverings
ACT ceiling grid
MEP rough-in (pre-cover)
Above-ceiling close-up</t>
  </si>
  <si>
    <t>Procore Inspection + Benchmark Form</t>
  </si>
  <si>
    <t>Q-Team / Trade Partner</t>
  </si>
  <si>
    <t>Procore — Benchmarks / PDF binder</t>
  </si>
  <si>
    <t>Mock-Up Review</t>
  </si>
  <si>
    <t>Tile &amp; stone — pool deck / shower assembly with waterproofing transition
GWB Level 5 skim finish panel
Locker unit &amp; reception desk first article
Polished / sealed concrete floor sample (BOH)
Paint &amp; wall covering sample area
Glass block wall panel
Firestopping typical UL penetration
Wood flooring accent panel (pool / lounge)</t>
  </si>
  <si>
    <t>In-field physical sample + photo log</t>
  </si>
  <si>
    <t>Q-Team / Architect / Client Rep</t>
  </si>
  <si>
    <t>Onsite + Procore Photo Documentation</t>
  </si>
  <si>
    <t>Non-Conformance Report (NCR)</t>
  </si>
  <si>
    <t>Documented deviation from plans/specs or unacceptable workmanship</t>
  </si>
  <si>
    <t>Procore Observations Tool</t>
  </si>
  <si>
    <t>Superintendent / PM</t>
  </si>
  <si>
    <t>Procore — Observations</t>
  </si>
  <si>
    <t>Control Samples</t>
  </si>
  <si>
    <t>Keep one sample of each approved material onsite</t>
  </si>
  <si>
    <t>Stored physically in labeled plastic box</t>
  </si>
  <si>
    <t>QA/QC Manager</t>
  </si>
  <si>
    <t>Site Office Sample Bin</t>
  </si>
  <si>
    <t>Punchlist Walks</t>
  </si>
  <si>
    <t>Final completion walkthrough for trade and general scopes</t>
  </si>
  <si>
    <t>Procore Punchlist Tool</t>
  </si>
  <si>
    <t>Q-Team / Design Team / Client Rep</t>
  </si>
  <si>
    <t>Procore — Punchlists</t>
  </si>
  <si>
    <t>Monthly QA Review</t>
  </si>
  <si>
    <t>Review completed vs. missed benchmarks</t>
  </si>
  <si>
    <t>Internal Project Schedule / QA Log</t>
  </si>
  <si>
    <t>PM / Superintendent</t>
  </si>
  <si>
    <t>Project Folder / QA Dashboard</t>
  </si>
  <si>
    <t>SAUNALOUNGE — DFOW RISK &amp; QUALITY GOVERNANCE MATRIX (Playbook App. D-B)</t>
  </si>
  <si>
    <t>45 South 3rd Street, Ground Floor, Brooklyn NY 11249  |  Affect Build, LLC  |  Tier drives inspection intensity, documentation level and Q-Team attendance</t>
  </si>
  <si>
    <t>DFOW ID</t>
  </si>
  <si>
    <t>DFOW / Definable Feature of Work</t>
  </si>
  <si>
    <t>Tier</t>
  </si>
  <si>
    <t>Risk Level</t>
  </si>
  <si>
    <t>Insp. Intensity / Follow-Up Freq.</t>
  </si>
  <si>
    <t>CSI Div / Spec</t>
  </si>
  <si>
    <t>Zone / Location</t>
  </si>
  <si>
    <t>Responsible Trade Partner</t>
  </si>
  <si>
    <t>Affect Lead (PM / Super)</t>
  </si>
  <si>
    <t>Mock-Up Req'd</t>
  </si>
  <si>
    <t>Hold / Witness Points</t>
  </si>
  <si>
    <t>Special Insp. Req'd (TR)</t>
  </si>
  <si>
    <t>Ph.1 Preparatory</t>
  </si>
  <si>
    <t>Ph.2 Work Readiness</t>
  </si>
  <si>
    <t>Ph.3 First Work Review</t>
  </si>
  <si>
    <t>Ph.4 Follow-Up Status</t>
  </si>
  <si>
    <t>Notes</t>
  </si>
  <si>
    <t>D-01</t>
  </si>
  <si>
    <t>Wet-area waterproofing — pool deck, locker rooms, showers, kitchen</t>
  </si>
  <si>
    <t>Zone A &amp; B wet areas</t>
  </si>
  <si>
    <t>N. Scarmacca (Super)</t>
  </si>
  <si>
    <t>Yes</t>
  </si>
  <si>
    <t>HOLD — before tile/topping cover-up</t>
  </si>
  <si>
    <t>TR12/13-adjacent</t>
  </si>
  <si>
    <t>D-02</t>
  </si>
  <si>
    <t>Waterproofing interface w/ Owner's pool shell, sauna &amp; cold plunge assemblies</t>
  </si>
  <si>
    <t>Pool room (Zone B)</t>
  </si>
  <si>
    <t>N. Scarmacca (Super) / I. Aguire (PM)</t>
  </si>
  <si>
    <t>HOLD — joint interface inspection w/ Owner vendor</t>
  </si>
  <si>
    <t>Fire Alarm system — FACP, RAN, initiating / notification devices</t>
  </si>
  <si>
    <t>28 31 00</t>
  </si>
  <si>
    <t>Whole premises</t>
  </si>
  <si>
    <t>I. Aguire (PM)</t>
  </si>
  <si>
    <t>No</t>
  </si>
  <si>
    <t>HOLD — 100% device pre-test; WITNESS — FDNY acceptance</t>
  </si>
  <si>
    <t>TR1</t>
  </si>
  <si>
    <t>Fire Sprinkler &amp; standpipe — 87 new heads, main &amp; branch</t>
  </si>
  <si>
    <t>21 13 00</t>
  </si>
  <si>
    <t>HOLD — hydrostatic 200 psi / 2 hr (DOB witness); WITNESS — FDNY flow test</t>
  </si>
  <si>
    <t>Electrical service, switchgear &amp; panels MP-1, KP-1, LP-1, RP-1, SWBD-1</t>
  </si>
  <si>
    <t>26 20 00</t>
  </si>
  <si>
    <t>Elec. room / Zones A &amp; B</t>
  </si>
  <si>
    <t>HOLD — pre-energisation inspection &amp; megger</t>
  </si>
  <si>
    <t>TR - Electrical</t>
  </si>
  <si>
    <t>D-06</t>
  </si>
  <si>
    <t>Gas piping &amp; elevated-pressure gas service connection</t>
  </si>
  <si>
    <t>22 11 00</t>
  </si>
  <si>
    <t>Kitchen / mech.</t>
  </si>
  <si>
    <t>HOLD — 10 psi / 15 min pressure test (DOB witness)</t>
  </si>
  <si>
    <t>DOB Plumbing</t>
  </si>
  <si>
    <t>Pool equipment room slab &amp; CIP concrete</t>
  </si>
  <si>
    <t>03 30 00</t>
  </si>
  <si>
    <t>Pool equipment room</t>
  </si>
  <si>
    <t>HOLD — pre-pour rebar/embeds; WITNESS — each pour</t>
  </si>
  <si>
    <t>TR2 / TR3</t>
  </si>
  <si>
    <t>Excavation &amp; support of excavation — pool equipment room (150 CY)</t>
  </si>
  <si>
    <t>31 20 00</t>
  </si>
  <si>
    <t>HOLD — SOE verification before excavation</t>
  </si>
  <si>
    <t>TR4 / TR5</t>
  </si>
  <si>
    <t>D-09</t>
  </si>
  <si>
    <t>Domestic hot water — 4x Rheem tankless + ST-120 storage tank</t>
  </si>
  <si>
    <t>22 33 00</t>
  </si>
  <si>
    <t>Mech. room</t>
  </si>
  <si>
    <t>HOLD — combustion test before DOB Boiler Unit insp.</t>
  </si>
  <si>
    <t>DOB Boiler</t>
  </si>
  <si>
    <t>D-10</t>
  </si>
  <si>
    <t>HVAC equipment — RT-1, PDU-1, ERV-1/2, AC-1 to AC-5, MUA-1, KEF-1</t>
  </si>
  <si>
    <t>23 00 00</t>
  </si>
  <si>
    <t>Roof / Zones A &amp; B</t>
  </si>
  <si>
    <t>WITNESS — startup &amp; functional performance test</t>
  </si>
  <si>
    <t>TR8</t>
  </si>
  <si>
    <t>D-11</t>
  </si>
  <si>
    <t>Ductwork Zones A &amp; B incl. duct pressure testing</t>
  </si>
  <si>
    <t>23 31 00</t>
  </si>
  <si>
    <t>Zones A &amp; B</t>
  </si>
  <si>
    <t>HOLD — duct pressure test before ceiling close-up</t>
  </si>
  <si>
    <t>D-12</t>
  </si>
  <si>
    <t>Refrigerant piping — ACCU-1 / ACCU-2 reconnect, ACCU-3 new</t>
  </si>
  <si>
    <t>23 23 00</t>
  </si>
  <si>
    <t>Roof / Zone A</t>
  </si>
  <si>
    <t>HOLD — pressure/vacuum test before charge</t>
  </si>
  <si>
    <t>—</t>
  </si>
  <si>
    <t>D-13</t>
  </si>
  <si>
    <t>Plumbing rough-in — CW / HW / sanitary / waste / vent</t>
  </si>
  <si>
    <t>22 10 00</t>
  </si>
  <si>
    <t>HOLD — pre-cover inspection before GWB</t>
  </si>
  <si>
    <t>Tile &amp; stone — pool floors, locker/shower, lounge/bar, kitchen, ADA restroom</t>
  </si>
  <si>
    <t>09 30 00</t>
  </si>
  <si>
    <t>HOLD — mock-up sign-off before production</t>
  </si>
  <si>
    <t>Firestopping — all rated penetrations</t>
  </si>
  <si>
    <t>07 84 00</t>
  </si>
  <si>
    <t>HOLD — before cover-up</t>
  </si>
  <si>
    <t>TR - Firestop</t>
  </si>
  <si>
    <t>Millwork &amp; casework — lockers, reception, bar, coat check, kitchen, kiosk</t>
  </si>
  <si>
    <t>06 40 00</t>
  </si>
  <si>
    <t>HOLD — shop visit / first article review</t>
  </si>
  <si>
    <t>D-17</t>
  </si>
  <si>
    <t>Roof penetrations, curbs &amp; flashing at RTU-1 and roof equipment</t>
  </si>
  <si>
    <t>07 50 00</t>
  </si>
  <si>
    <t>Roof</t>
  </si>
  <si>
    <t>HOLD — flood / water test before close-up</t>
  </si>
  <si>
    <t>Metal stud framing Zones A &amp; B, barrel vault, soffits &amp; dropped ceilings</t>
  </si>
  <si>
    <t>09 22 00</t>
  </si>
  <si>
    <t>HOLD — layout &amp; framing check before rough-in</t>
  </si>
  <si>
    <t>Glass block wall framing &amp; installation</t>
  </si>
  <si>
    <t>04 23 00</t>
  </si>
  <si>
    <t>Zone A</t>
  </si>
  <si>
    <t>First Work Review</t>
  </si>
  <si>
    <t>GWB hang, tape, finish &amp; Level 5 skim coat</t>
  </si>
  <si>
    <t>09 29 00</t>
  </si>
  <si>
    <t>HOLD — pre-cover sign-off before board</t>
  </si>
  <si>
    <t>Doors, frames &amp; hardware</t>
  </si>
  <si>
    <t>08 11 00</t>
  </si>
  <si>
    <t>D-22</t>
  </si>
  <si>
    <t>Blocking &amp; in-wall backing / anchors</t>
  </si>
  <si>
    <t>06 10 00</t>
  </si>
  <si>
    <t>HOLD — pre-cover inspection</t>
  </si>
  <si>
    <t>D-23</t>
  </si>
  <si>
    <t>Low-voltage / AV rough-in</t>
  </si>
  <si>
    <t>27 00 00</t>
  </si>
  <si>
    <t>D-24</t>
  </si>
  <si>
    <t>Lighting controls &amp; dimming (Exhibit G allowance)</t>
  </si>
  <si>
    <t>26 09 00</t>
  </si>
  <si>
    <t>WITNESS — controls functional test</t>
  </si>
  <si>
    <t>ACT / acoustic ceiling panels &amp; grid</t>
  </si>
  <si>
    <t>09 51 00</t>
  </si>
  <si>
    <t>HOLD — above-ceiling MEP inspection before grid close-up</t>
  </si>
  <si>
    <t>D-26</t>
  </si>
  <si>
    <t>Layout &amp; survey control — benchmarks and control lines</t>
  </si>
  <si>
    <t>01 71 23</t>
  </si>
  <si>
    <t>HOLD — control sign-off before any trade layout</t>
  </si>
  <si>
    <t>Polished / sealed concrete floor at BOH</t>
  </si>
  <si>
    <t>03 35 00</t>
  </si>
  <si>
    <t>BOH (Zone A)</t>
  </si>
  <si>
    <t>Mock-up + First Work Review</t>
  </si>
  <si>
    <t>Painting &amp; wall coverings</t>
  </si>
  <si>
    <t>09 90 00</t>
  </si>
  <si>
    <t>D-29</t>
  </si>
  <si>
    <t>Wood flooring accent — pool / lounge</t>
  </si>
  <si>
    <t>09 64 00</t>
  </si>
  <si>
    <t>D-30</t>
  </si>
  <si>
    <t>Bath accessories, toilet partitions &amp; stalls</t>
  </si>
  <si>
    <t>10 21 00</t>
  </si>
  <si>
    <t>Locker rooms / ADA restroom</t>
  </si>
  <si>
    <t>At completion</t>
  </si>
  <si>
    <t>D-31</t>
  </si>
  <si>
    <t>Signage &amp; wayfinding</t>
  </si>
  <si>
    <t>10 14 00</t>
  </si>
  <si>
    <t>D-32</t>
  </si>
  <si>
    <t>Final clean &amp; protection removal</t>
  </si>
  <si>
    <t>01 74 00</t>
  </si>
  <si>
    <t>SAUNALOUNGE — INSPECTION &amp; TESTING PLAN (ITP)  |  Playbook App. D-C</t>
  </si>
  <si>
    <t>H = HOLD POINT: work must stop; inspection signed off before proceeding — no exceptions.   W = WITNESS POINT: Affect Build and/or A/E notified min. 48 hrs in advance; work may proceed if witness does not attend after proper written notice.   All reports uploaded to Procore within 24 hrs of receipt.</t>
  </si>
  <si>
    <t>ITP ID</t>
  </si>
  <si>
    <t>Test / Inspection Activity</t>
  </si>
  <si>
    <t>Spec / Code Requirement</t>
  </si>
  <si>
    <t>Test Method / Standard</t>
  </si>
  <si>
    <t>Acceptance Criteria</t>
  </si>
  <si>
    <t>Frequency</t>
  </si>
  <si>
    <t>Responsible Party</t>
  </si>
  <si>
    <t>H / W</t>
  </si>
  <si>
    <t>Notice Req'd</t>
  </si>
  <si>
    <t>Date Performed</t>
  </si>
  <si>
    <t>Result</t>
  </si>
  <si>
    <t>Report Ref (Procore)</t>
  </si>
  <si>
    <t>Status</t>
  </si>
  <si>
    <t>Report Distribution</t>
  </si>
  <si>
    <t>T-01</t>
  </si>
  <si>
    <t>Concrete compressive strength — pool equipment room slab</t>
  </si>
  <si>
    <t>NYC BC Ch.17 / TR2-TR3</t>
  </si>
  <si>
    <t>ASTM C39 cylinder breaks</t>
  </si>
  <si>
    <t>Meets design f'c at 28 days</t>
  </si>
  <si>
    <t>Each pour (min. 1 set per 50 CY)</t>
  </si>
  <si>
    <t>Licensed Testing Laboratory</t>
  </si>
  <si>
    <t>H</t>
  </si>
  <si>
    <t>48 hrs</t>
  </si>
  <si>
    <t>PM, Super, SIA, Architect, Collectif</t>
  </si>
  <si>
    <t>T-02</t>
  </si>
  <si>
    <t>Concrete slump, air content &amp; temperature</t>
  </si>
  <si>
    <t>NYC BC Ch.17 / TR2</t>
  </si>
  <si>
    <t>ASTM C143 / C231 / C1064</t>
  </si>
  <si>
    <t>Within approved mix design tolerances</t>
  </si>
  <si>
    <t>Each truck / each pour</t>
  </si>
  <si>
    <t>W</t>
  </si>
  <si>
    <t>PM, Super, SIA</t>
  </si>
  <si>
    <t>T-03</t>
  </si>
  <si>
    <t>Pre-pour rebar, embeds &amp; formwork verification</t>
  </si>
  <si>
    <t>Structural drawings / TR3</t>
  </si>
  <si>
    <t>Visual + tape measure vs. shop drawings</t>
  </si>
  <si>
    <t>Placement, cover and laps per approved shops</t>
  </si>
  <si>
    <t>Before every pour</t>
  </si>
  <si>
    <t>Special Inspection Agency</t>
  </si>
  <si>
    <t>PM, Super, SIA, Architect</t>
  </si>
  <si>
    <t>T-04</t>
  </si>
  <si>
    <t>Excavation / SOE verification — pool equipment room</t>
  </si>
  <si>
    <t>NYC BC Ch.33 / TR4-TR5</t>
  </si>
  <si>
    <t>Survey + visual vs. approved SOE drawings</t>
  </si>
  <si>
    <t>Sloped excavation per approved SOE; no undermining</t>
  </si>
  <si>
    <t>Before and during excavation</t>
  </si>
  <si>
    <t>T-05</t>
  </si>
  <si>
    <t>Wet-area waterproofing flood test — locker rooms, showers, pool deck</t>
  </si>
  <si>
    <t>Manufacturer's requirements / 07</t>
  </si>
  <si>
    <t>Flood test min. 24 hrs, 2 in. head</t>
  </si>
  <si>
    <t>No loss of head; no evidence of leakage</t>
  </si>
  <si>
    <t>Each wet area, before cover-up</t>
  </si>
  <si>
    <t>Waterproofing Subcontractor</t>
  </si>
  <si>
    <t>PM, Super, Architect, Owner</t>
  </si>
  <si>
    <t>T-06</t>
  </si>
  <si>
    <t>Interface inspection — Affect waterproofing to Owner's pool / sauna assemblies</t>
  </si>
  <si>
    <t>Contract §12.4 / manufacturer</t>
  </si>
  <si>
    <t>Joint visual inspection + photo record</t>
  </si>
  <si>
    <t>Continuous termination; no gaps at transition</t>
  </si>
  <si>
    <t>At each interface, before cover-up</t>
  </si>
  <si>
    <t>N. Scarmacca (Super) + Owner's Pool Vendor</t>
  </si>
  <si>
    <t>72 hrs</t>
  </si>
  <si>
    <t>PM, Super, Architect, Owner's Vendor</t>
  </si>
  <si>
    <t>T-07</t>
  </si>
  <si>
    <t>Roof flood / water test at RTU-1 curbs and penetrations</t>
  </si>
  <si>
    <t>07 50 00 / manufacturer</t>
  </si>
  <si>
    <t>Water test / spray test</t>
  </si>
  <si>
    <t>No leakage at curbs, flashings or penetrations</t>
  </si>
  <si>
    <t>Once, after flashing complete</t>
  </si>
  <si>
    <t>Roofing Subcontractor</t>
  </si>
  <si>
    <t>PM, Super, Architect</t>
  </si>
  <si>
    <t>T-08</t>
  </si>
  <si>
    <t>Sprinkler hydrostatic test</t>
  </si>
  <si>
    <t>NFPA 13 / NYC BC / TR1</t>
  </si>
  <si>
    <t>Hydrostatic pressure test</t>
  </si>
  <si>
    <t>200 psi held 2 hrs with no loss</t>
  </si>
  <si>
    <t>Once per system, all new piping</t>
  </si>
  <si>
    <t>Sprinkler Subcontractor (DOB witness)</t>
  </si>
  <si>
    <t>PM, Super, DOB, FDNY, SIA</t>
  </si>
  <si>
    <t>T-09</t>
  </si>
  <si>
    <t>Sprinkler flow test — waterflow &amp; tamper switches</t>
  </si>
  <si>
    <t>NFPA 13 / FDNY</t>
  </si>
  <si>
    <t>Flow test at inspector's test connection</t>
  </si>
  <si>
    <t>Alarm signal within 90 sec; correct pressure</t>
  </si>
  <si>
    <t>Once, at final acceptance</t>
  </si>
  <si>
    <t>Sprinkler Subcontractor (FDNY witness)</t>
  </si>
  <si>
    <t>PM, Super, FDNY, SIA</t>
  </si>
  <si>
    <t>T-10</t>
  </si>
  <si>
    <t>Fire alarm 100% device pre-test</t>
  </si>
  <si>
    <t>NFPA 72 / FDNY / TR1</t>
  </si>
  <si>
    <t>Point-by-point functional device test</t>
  </si>
  <si>
    <t>100% of initiating, signaling &amp; notification devices operate</t>
  </si>
  <si>
    <t>Once, before FDNY witness test</t>
  </si>
  <si>
    <t>Fire Alarm Subcontractor</t>
  </si>
  <si>
    <t>PM, Super, Collectif, SIA</t>
  </si>
  <si>
    <t>T-11</t>
  </si>
  <si>
    <t>Fire alarm interface test — HVAC damper closure &amp; door hold-open release</t>
  </si>
  <si>
    <t>NFPA 72 / NYC MC</t>
  </si>
  <si>
    <t>Functional interface test</t>
  </si>
  <si>
    <t>All dampers close and hold-opens release on alarm</t>
  </si>
  <si>
    <t>Once, with pre-test</t>
  </si>
  <si>
    <t>Fire Alarm + Mechanical Subs</t>
  </si>
  <si>
    <t>PM, Super, Collectif</t>
  </si>
  <si>
    <t>T-12</t>
  </si>
  <si>
    <t>FDNY fire alarm witness / acceptance test</t>
  </si>
  <si>
    <t>FDNY rules / TR1</t>
  </si>
  <si>
    <t>FDNY witnessed live device test</t>
  </si>
  <si>
    <t>FDNY Letter of Approval (LOA) issued</t>
  </si>
  <si>
    <t>Once (≥2 weeks before 12/21/26)</t>
  </si>
  <si>
    <t>FDNY Inspector</t>
  </si>
  <si>
    <t>2 weeks</t>
  </si>
  <si>
    <t>PM, Super, Owner, FDNY, SIA</t>
  </si>
  <si>
    <t>T-13</t>
  </si>
  <si>
    <t>Central station / alarm transmission verification</t>
  </si>
  <si>
    <t>FDNY</t>
  </si>
  <si>
    <t>Signal transmission test to central station</t>
  </si>
  <si>
    <t>Signal received and logged by central station</t>
  </si>
  <si>
    <t>PM, Super, FDNY</t>
  </si>
  <si>
    <t>T-14</t>
  </si>
  <si>
    <t>Gas piping pressure test</t>
  </si>
  <si>
    <t>NYC Fuel Gas Code / DOB Plumbing</t>
  </si>
  <si>
    <t>Air pressure test</t>
  </si>
  <si>
    <t>10 psi held 15 min minimum with no loss</t>
  </si>
  <si>
    <t>Each new gas run</t>
  </si>
  <si>
    <t>Plumbing Subcontractor (DOB witness)</t>
  </si>
  <si>
    <t>PM, Super, DOB, Collectif</t>
  </si>
  <si>
    <t>T-15</t>
  </si>
  <si>
    <t>Plumbing rough-in — water, sanitary &amp; vent inspection</t>
  </si>
  <si>
    <t>NYC PC / DOB Plumbing</t>
  </si>
  <si>
    <t>Hydrostatic / air test + DOB inspection</t>
  </si>
  <si>
    <t>No loss of pressure; DOB sign-off obtained</t>
  </si>
  <si>
    <t>Each rough-in area, before cover</t>
  </si>
  <si>
    <t>Plumbing Subcontractor</t>
  </si>
  <si>
    <t>PM, Super, DOB</t>
  </si>
  <si>
    <t>T-16</t>
  </si>
  <si>
    <t>Water heater combustion test — 4x Rheem tankless + ST-120</t>
  </si>
  <si>
    <t>Manufacturer / NYC MC</t>
  </si>
  <si>
    <t>Combustion analysis</t>
  </si>
  <si>
    <t>CO / O2 within manufacturer's limits</t>
  </si>
  <si>
    <t>Once per unit at startup</t>
  </si>
  <si>
    <t>Plumbing / Mechanical Sub</t>
  </si>
  <si>
    <t>PM, Super, Collectif, DOB Boiler Unit</t>
  </si>
  <si>
    <t>T-17</t>
  </si>
  <si>
    <t>Electrical insulation resistance (megger) &amp; grounding continuity</t>
  </si>
  <si>
    <t>NETA / NYC EC</t>
  </si>
  <si>
    <t>Megger + continuity test</t>
  </si>
  <si>
    <t>Insulation resistance and bonding per NETA / spec</t>
  </si>
  <si>
    <t>Before energisation of each panel</t>
  </si>
  <si>
    <t>Electrical Subcontractor</t>
  </si>
  <si>
    <t>T-18</t>
  </si>
  <si>
    <t>Electrical rough &amp; final inspection / Certificate of Electrical Inspection</t>
  </si>
  <si>
    <t>NYC EC / DOB NOW</t>
  </si>
  <si>
    <t>DOB electrical inspection</t>
  </si>
  <si>
    <t>Certificate of Electrical Inspection issued or self-certified</t>
  </si>
  <si>
    <t>Rough and final</t>
  </si>
  <si>
    <t>Licensed Electrician / DOB</t>
  </si>
  <si>
    <t>1 week</t>
  </si>
  <si>
    <t>PM, Super, Owner, DOB</t>
  </si>
  <si>
    <t>T-19</t>
  </si>
  <si>
    <t>Duct pressure / leakage test</t>
  </si>
  <si>
    <t>SMACNA / 23 31 00 / TR8</t>
  </si>
  <si>
    <t>SMACNA duct leakage test</t>
  </si>
  <si>
    <t>Leakage within SMACNA class per spec</t>
  </si>
  <si>
    <t>Each system, before ceiling close-up</t>
  </si>
  <si>
    <t>Mechanical Subcontractor</t>
  </si>
  <si>
    <t>T-20</t>
  </si>
  <si>
    <t>HVAC equipment startup &amp; functional performance test</t>
  </si>
  <si>
    <t>23 00 00 / manufacturer</t>
  </si>
  <si>
    <t>Vendor certified startup + FPT</t>
  </si>
  <si>
    <t>Operates per design; certified startup report issued</t>
  </si>
  <si>
    <t>Each unit</t>
  </si>
  <si>
    <t>Manufacturer / Mechanical Sub</t>
  </si>
  <si>
    <t>PM, Super, Collectif, Owner</t>
  </si>
  <si>
    <t>T-21</t>
  </si>
  <si>
    <t>Testing, Adjusting &amp; Balancing (TAB)</t>
  </si>
  <si>
    <t>23 05 93 / NEBB or AABC</t>
  </si>
  <si>
    <t>TAB per specification</t>
  </si>
  <si>
    <t>Airflows within ±10% of design CFM</t>
  </si>
  <si>
    <t>Once, whole system</t>
  </si>
  <si>
    <t>Approved TAB Firm</t>
  </si>
  <si>
    <t>T-22</t>
  </si>
  <si>
    <t>Mechanical / energy code compliance special inspection</t>
  </si>
  <si>
    <t>NYC ECC / TR8</t>
  </si>
  <si>
    <t>SIA review + documentation</t>
  </si>
  <si>
    <t>TR8 signed off by Collectif</t>
  </si>
  <si>
    <t>At system completion</t>
  </si>
  <si>
    <t>Collectif (Mech. Engineer)</t>
  </si>
  <si>
    <t>PM, Super, Owner, DOB, SIA</t>
  </si>
  <si>
    <t>T-23</t>
  </si>
  <si>
    <t>Refrigerant piping pressure / vacuum test</t>
  </si>
  <si>
    <t>23 23 00 / manufacturer</t>
  </si>
  <si>
    <t>Pressure &amp; evacuation test</t>
  </si>
  <si>
    <t>Holds test pressure; vacuum to manufacturer's spec</t>
  </si>
  <si>
    <t>Each circuit before charging</t>
  </si>
  <si>
    <t>T-24</t>
  </si>
  <si>
    <t>Firestopping inspection — rated penetrations</t>
  </si>
  <si>
    <t>07 84 00 / NYC BC Ch.17</t>
  </si>
  <si>
    <t>Visual vs. UL listed system</t>
  </si>
  <si>
    <t>Correct UL system, depth and annular space</t>
  </si>
  <si>
    <t>Each rated penetration, before cover</t>
  </si>
  <si>
    <t>T-25</t>
  </si>
  <si>
    <t>Above-ceiling MEP coordination inspection</t>
  </si>
  <si>
    <t>01 45 00 / Playbook A5.4</t>
  </si>
  <si>
    <t>Joint walk with all MEP trades</t>
  </si>
  <si>
    <t>All rough-in complete, tested, labelled; access maintained</t>
  </si>
  <si>
    <t>Each area, before grid close-up</t>
  </si>
  <si>
    <t>PM, Super, all MEP subs, Architect</t>
  </si>
  <si>
    <t>T-26</t>
  </si>
  <si>
    <t>Pre-cover (pre-drywall) inspection</t>
  </si>
  <si>
    <t>Playbook A5.4</t>
  </si>
  <si>
    <t>Joint trade walk + Closure Record D-G</t>
  </si>
  <si>
    <t>All in-wall work complete, tested and signed by each trade</t>
  </si>
  <si>
    <t>Each area, before board</t>
  </si>
  <si>
    <t>PM, Super, all trades, Architect</t>
  </si>
  <si>
    <t>T-27</t>
  </si>
  <si>
    <t>Tile &amp; stone mock-up review and sign-off</t>
  </si>
  <si>
    <t>Q-Team mock-up review</t>
  </si>
  <si>
    <t>Mock-up formally signed off before production</t>
  </si>
  <si>
    <t>Once per tile type (TL-1, TL-2, TL-3)</t>
  </si>
  <si>
    <t>Q-Team + Architect + Owner Rep</t>
  </si>
  <si>
    <t>T-28</t>
  </si>
  <si>
    <t>Lighting controls / dimming functional test</t>
  </si>
  <si>
    <t>26 09 00 / Exhibit G</t>
  </si>
  <si>
    <t>Functional scene &amp; dimming test</t>
  </si>
  <si>
    <t>All scenes and zones operate per design</t>
  </si>
  <si>
    <t>T-29</t>
  </si>
  <si>
    <t>Layout &amp; survey control verification</t>
  </si>
  <si>
    <t>01 71 23 / Trainual Setting Out SOP</t>
  </si>
  <si>
    <t>Total station / laser verification</t>
  </si>
  <si>
    <t>Control benchmarks documented and signed off</t>
  </si>
  <si>
    <t>Before any trade layout</t>
  </si>
  <si>
    <t>Superintendent + Surveyor</t>
  </si>
  <si>
    <t>PM, Super, all trades</t>
  </si>
  <si>
    <t>T-30</t>
  </si>
  <si>
    <t>DEP backflow prevention device test &amp; certification</t>
  </si>
  <si>
    <t>NYC DEP / 22 11 19</t>
  </si>
  <si>
    <t>Certified backflow test</t>
  </si>
  <si>
    <t>Device passes; DEP certification filed</t>
  </si>
  <si>
    <t>Once, at completion</t>
  </si>
  <si>
    <t>Licensed Backflow Tester</t>
  </si>
  <si>
    <t>PM, Super, Owner, DEP</t>
  </si>
  <si>
    <t>T-31</t>
  </si>
  <si>
    <t>DOH Pool / Spa final inspection (Owner's Separate Trades)</t>
  </si>
  <si>
    <t>NYC DOH / Contract §12.4</t>
  </si>
  <si>
    <t>DOH inspector site inspection</t>
  </si>
  <si>
    <t>DOH Pool/Spa approval issued</t>
  </si>
  <si>
    <t>Once, before occupancy</t>
  </si>
  <si>
    <t>NYC DOH / Owner's Pool Vendor</t>
  </si>
  <si>
    <t>PM, Super, Owner, DOH</t>
  </si>
  <si>
    <t>SAUNALOUNGE — PATH TO TCO  |  Statutory Sign-Off Gate Register</t>
  </si>
  <si>
    <t>TCO Request is filed via DOB NOW only once ALL of the following are complete: FDNY Fire Alarm LOA · Sprinkler/Standpipe approval · Electrical &amp; Plumbing final certificates · DOH Pool/Spa approval · all Special Inspection (TR) closures. (CMP §20.4)</t>
  </si>
  <si>
    <t>Total Gates</t>
  </si>
  <si>
    <t>Complete</t>
  </si>
  <si>
    <t>Outstanding</t>
  </si>
  <si>
    <t>TCO Readiness</t>
  </si>
  <si>
    <t>Step</t>
  </si>
  <si>
    <t>Gate / Milestone</t>
  </si>
  <si>
    <t>Category</t>
  </si>
  <si>
    <t>Agency / Authority</t>
  </si>
  <si>
    <t>Prerequisite Step(s)</t>
  </si>
  <si>
    <t>Responsible</t>
  </si>
  <si>
    <t>Required Document / Certificate</t>
  </si>
  <si>
    <t>Target Date</t>
  </si>
  <si>
    <t>Actual Date</t>
  </si>
  <si>
    <t>Days to SC</t>
  </si>
  <si>
    <t>Procore / DOB NOW Ref</t>
  </si>
  <si>
    <t>A.  PERMITS, FILINGS &amp; PRECONSTRUCTION</t>
  </si>
  <si>
    <t>A1</t>
  </si>
  <si>
    <t>PW1 / PW2 filings approved and work permits issued</t>
  </si>
  <si>
    <t>DOB</t>
  </si>
  <si>
    <t>NYC DOB</t>
  </si>
  <si>
    <t>Approved PW1, issued PW2 work permit</t>
  </si>
  <si>
    <t>Not Started</t>
  </si>
  <si>
    <t>A2</t>
  </si>
  <si>
    <t>TR1 (Technical Report — Statement of Responsibility) filed and accepted</t>
  </si>
  <si>
    <t>NYC DOB / SIA</t>
  </si>
  <si>
    <t>Accepted TR1 in DOB NOW</t>
  </si>
  <si>
    <t>A3</t>
  </si>
  <si>
    <t>TR8 (Energy / Mechanical) filed and accepted</t>
  </si>
  <si>
    <t>NYC DOB / Collectif</t>
  </si>
  <si>
    <t>Accepted TR8 in DOB NOW</t>
  </si>
  <si>
    <t>A4</t>
  </si>
  <si>
    <t>Special Inspection Agency and Testing Laboratory engaged and on record</t>
  </si>
  <si>
    <t>Internal</t>
  </si>
  <si>
    <t>Affect Build</t>
  </si>
  <si>
    <t>Executed agency agreements</t>
  </si>
  <si>
    <t>A5</t>
  </si>
  <si>
    <t>Physical inspector sign-in logbook established at site entry</t>
  </si>
  <si>
    <t>Bound logbook on site (see Inspector Sign-In tab)</t>
  </si>
  <si>
    <t>A6</t>
  </si>
  <si>
    <t>Permit board, site safety and code postings in place</t>
  </si>
  <si>
    <t>Photo record of postings</t>
  </si>
  <si>
    <t>A7</t>
  </si>
  <si>
    <t>CodeGreen (CGI) Preliminary special inspection completed</t>
  </si>
  <si>
    <t>Special Insp.</t>
  </si>
  <si>
    <t>A1,A4</t>
  </si>
  <si>
    <t>CGI Preliminary inspection report</t>
  </si>
  <si>
    <t>MUST occur PRIOR TO any work being performed on site (CGI matrix 2026-0401). Allow min. 2-3 days to schedule</t>
  </si>
  <si>
    <t>B.  SPECIAL INSPECTION (TR) CLOSURES — CMP §12.6</t>
  </si>
  <si>
    <t>B1</t>
  </si>
  <si>
    <t>Concrete placement special inspections complete — pool equipment room slab</t>
  </si>
  <si>
    <t>Licensed Testing Lab</t>
  </si>
  <si>
    <t>Signed TR2 / TR3 reports, all pours</t>
  </si>
  <si>
    <t>B2</t>
  </si>
  <si>
    <t>Excavation / SOE special inspections complete</t>
  </si>
  <si>
    <t>Signed TR reports</t>
  </si>
  <si>
    <t>B3</t>
  </si>
  <si>
    <t>Waterproofing (wet-area interface) special inspections complete</t>
  </si>
  <si>
    <t>Independent Inspector</t>
  </si>
  <si>
    <t>Signed inspection reports, all wet areas</t>
  </si>
  <si>
    <t>B4</t>
  </si>
  <si>
    <t>Firestopping special inspections complete — all rated penetrations</t>
  </si>
  <si>
    <t>Signed inspection reports</t>
  </si>
  <si>
    <t>B5</t>
  </si>
  <si>
    <t>Mechanical / Energy Code compliance special inspection signed off</t>
  </si>
  <si>
    <t>Signed TR8</t>
  </si>
  <si>
    <t>B6</t>
  </si>
  <si>
    <t>Sprinkler / Fire Alarm special inspection signed off</t>
  </si>
  <si>
    <t>Approved Inspector</t>
  </si>
  <si>
    <t>Signed TR1 for FA / sprinkler</t>
  </si>
  <si>
    <t>B7</t>
  </si>
  <si>
    <t>FINAL TR1 sign-off letter received from Special Inspection Agency</t>
  </si>
  <si>
    <t>B1,B2,B3,B4,B5,B6</t>
  </si>
  <si>
    <t>Final TR1 Sign-Off Letter (mandatory TCO prerequisite)</t>
  </si>
  <si>
    <t>C.  LIFE SAFETY SIGN-OFFS</t>
  </si>
  <si>
    <t>C1</t>
  </si>
  <si>
    <t>Fire alarm 100% device pre-test complete (see Path to Fire Alarm tab)</t>
  </si>
  <si>
    <t>Fire Alarm Sub</t>
  </si>
  <si>
    <t>Signed 100% device pre-test report</t>
  </si>
  <si>
    <t>C2</t>
  </si>
  <si>
    <t>FDNY witness / acceptance test passed — Letter of Approval issued</t>
  </si>
  <si>
    <t>FDNY Letter of Approval (LOA)</t>
  </si>
  <si>
    <t>C3</t>
  </si>
  <si>
    <t>Sprinkler hydrostatic test passed — 200 psi / 2 hrs, DOB witnessed</t>
  </si>
  <si>
    <t>Signed hydrostatic test record</t>
  </si>
  <si>
    <t>C4</t>
  </si>
  <si>
    <t>Sprinkler flow test / FDNY field acceptance — waterflow &amp; tamper switches</t>
  </si>
  <si>
    <t>FDNY field acceptance record</t>
  </si>
  <si>
    <t>C5</t>
  </si>
  <si>
    <t>Central station alarm transmission verified</t>
  </si>
  <si>
    <t>FDNY / Central Station</t>
  </si>
  <si>
    <t>Central station verification letter</t>
  </si>
  <si>
    <t>D.  UTILITY &amp; AGENCY SIGN-OFFS — CMP §19.3 / §20.2</t>
  </si>
  <si>
    <t>D1</t>
  </si>
  <si>
    <t>Electrical rough inspection passed</t>
  </si>
  <si>
    <t>DOB Electrical</t>
  </si>
  <si>
    <t>Rough inspection record</t>
  </si>
  <si>
    <t>D2</t>
  </si>
  <si>
    <t>Electrical final inspection — Certificate of Electrical Inspection issued</t>
  </si>
  <si>
    <t>Certificate of Electrical Inspection (or DOB NOW self-cert)</t>
  </si>
  <si>
    <t>D3</t>
  </si>
  <si>
    <t>Con Edison energisation letter received</t>
  </si>
  <si>
    <t>Utility</t>
  </si>
  <si>
    <t>Con Edison</t>
  </si>
  <si>
    <t>Energisation letter</t>
  </si>
  <si>
    <t>D4</t>
  </si>
  <si>
    <t>Plumbing rough inspection passed (water / sanitary / vent)</t>
  </si>
  <si>
    <t>Rough inspection sign-off</t>
  </si>
  <si>
    <t>D5</t>
  </si>
  <si>
    <t>Gas pressure test passed — 10 psi / 15 min, DOB witnessed</t>
  </si>
  <si>
    <t>Signed gas pressure test record</t>
  </si>
  <si>
    <t>D6</t>
  </si>
  <si>
    <t>Gas Activation Notice received</t>
  </si>
  <si>
    <t>Con Edison / National Grid</t>
  </si>
  <si>
    <t>Gas Activation Notice</t>
  </si>
  <si>
    <t>D7</t>
  </si>
  <si>
    <t>DOB Boiler Unit inspection — after Rheem water heater combustion testing</t>
  </si>
  <si>
    <t>DOB Boiler Unit</t>
  </si>
  <si>
    <t>Boiler inspection sign-off</t>
  </si>
  <si>
    <t>D8</t>
  </si>
  <si>
    <t>Plumbing final inspection / sign-off</t>
  </si>
  <si>
    <t>Plumbing final sign-off</t>
  </si>
  <si>
    <t>D9</t>
  </si>
  <si>
    <t>DEP water meter set</t>
  </si>
  <si>
    <t>DEP</t>
  </si>
  <si>
    <t>NYC DEP</t>
  </si>
  <si>
    <t>Meter set confirmation</t>
  </si>
  <si>
    <t>D10</t>
  </si>
  <si>
    <t>DEP backflow prevention certification filed</t>
  </si>
  <si>
    <t>Backflow certification</t>
  </si>
  <si>
    <t>D11</t>
  </si>
  <si>
    <t>DEP final sewer connection approval</t>
  </si>
  <si>
    <t>Sewer connection approval</t>
  </si>
  <si>
    <t>E.  DOH POOL / SPA — OWNER'S SEPARATE TRADES (CMP §20.3)</t>
  </si>
  <si>
    <t>E1</t>
  </si>
  <si>
    <t>Pool / sauna / cold plunge utility readiness confirmed (electrical, plumbing, trenching)</t>
  </si>
  <si>
    <t>D2,D8</t>
  </si>
  <si>
    <t>Utility readiness sign-off</t>
  </si>
  <si>
    <t>E2</t>
  </si>
  <si>
    <t>Owner's pool vendor testing &amp; commissioning complete</t>
  </si>
  <si>
    <t>DOH</t>
  </si>
  <si>
    <t>Owner's Vendor</t>
  </si>
  <si>
    <t>Vendor commissioning report</t>
  </si>
  <si>
    <t>E3</t>
  </si>
  <si>
    <t>NYC DOH Pool / Spa final inspection passed</t>
  </si>
  <si>
    <t>NYC DOH</t>
  </si>
  <si>
    <t>I. Aguire (PM) — coordination only</t>
  </si>
  <si>
    <t>DOH Pool/Spa approval certificate</t>
  </si>
  <si>
    <t>F.  COMMISSIONING, QUALITY &amp; CLOSEOUT</t>
  </si>
  <si>
    <t>F1</t>
  </si>
  <si>
    <t>All HVAC equipment startup and functional performance testing complete</t>
  </si>
  <si>
    <t>Mechanical Sub / Vendors</t>
  </si>
  <si>
    <t>Certified startup + FPT reports</t>
  </si>
  <si>
    <t>F2</t>
  </si>
  <si>
    <t>TAB report issued and accepted</t>
  </si>
  <si>
    <t>TAB report</t>
  </si>
  <si>
    <t>F3</t>
  </si>
  <si>
    <t>All open NCRs closed (see NCR Log)</t>
  </si>
  <si>
    <t>NCR Log showing zero open items</t>
  </si>
  <si>
    <t>F4</t>
  </si>
  <si>
    <t>All Tier 3 / Tier 4 DFOW Phase 4 follow-up inspections closed</t>
  </si>
  <si>
    <t>Superintendent</t>
  </si>
  <si>
    <t>Procore inspection records</t>
  </si>
  <si>
    <t>F5</t>
  </si>
  <si>
    <t>Trade self-punch and Affect Build punch review complete (Phases A &amp; B)</t>
  </si>
  <si>
    <t>Affect Build / Trades</t>
  </si>
  <si>
    <t>F6</t>
  </si>
  <si>
    <t>Owner / Architect punch walk complete (Phase C)</t>
  </si>
  <si>
    <t>Owner / Colberg Architecture</t>
  </si>
  <si>
    <t>Signed punch list</t>
  </si>
  <si>
    <t>F7</t>
  </si>
  <si>
    <t>O&amp;M Manuals, warranties, as-builts and training certificates compiled</t>
  </si>
  <si>
    <t>F1,F2</t>
  </si>
  <si>
    <t>Certificate and Approvals Binder (digital + hardcopy)</t>
  </si>
  <si>
    <t>F8</t>
  </si>
  <si>
    <t>Owner systems training delivered and documented</t>
  </si>
  <si>
    <t>Subs / Vendors</t>
  </si>
  <si>
    <t>Training Matrix with attendee sign-in</t>
  </si>
  <si>
    <t>G.  TCO FILING &amp; ISSUANCE</t>
  </si>
  <si>
    <t>G1</t>
  </si>
  <si>
    <t>Closeout Matrix verified — every authority approval accounted for</t>
  </si>
  <si>
    <t>B7,C2,C4,D2,D8,D10,E3</t>
  </si>
  <si>
    <t>Completed Closeout Matrix</t>
  </si>
  <si>
    <t>G2</t>
  </si>
  <si>
    <t>TCO application filed via DOB NOW</t>
  </si>
  <si>
    <t>DOB NOW TCO application</t>
  </si>
  <si>
    <t>G3</t>
  </si>
  <si>
    <t>DOB final building inspection passed</t>
  </si>
  <si>
    <t>Final inspection sign-off</t>
  </si>
  <si>
    <t>G4</t>
  </si>
  <si>
    <t>TEMPORARY CERTIFICATE OF OCCUPANCY (TCO) ISSUED</t>
  </si>
  <si>
    <t>Issued TCO</t>
  </si>
  <si>
    <t>G5</t>
  </si>
  <si>
    <t>Final Certificate of Occupancy (CO) issued</t>
  </si>
  <si>
    <t>Issued CO</t>
  </si>
  <si>
    <t>SAUNALOUNGE — PATH TO FIRE ALARM SIGN-OFF (FDNY LETTER OF APPROVAL)</t>
  </si>
  <si>
    <t>The FDNY Letter of Approval (LOA) is a MANDATORY prerequisite for TCO/CO. Per CMP §20.1, FDNY witness testing must be scheduled at least two weeks before the anticipated Substantial Completion date to allow for re-tests.</t>
  </si>
  <si>
    <t>Substantial Completion Target</t>
  </si>
  <si>
    <t>Latest FDNY Test Date (SC − 14 days)</t>
  </si>
  <si>
    <t>Steps Complete</t>
  </si>
  <si>
    <t>Activity / Gate</t>
  </si>
  <si>
    <t>Predecessor</t>
  </si>
  <si>
    <t>Advance Notice Req'd</t>
  </si>
  <si>
    <t>Evidence / Document Required</t>
  </si>
  <si>
    <t>FA-01</t>
  </si>
  <si>
    <t>Fire alarm shop drawings and device layout submitted to Collectif and Architect for review</t>
  </si>
  <si>
    <t>Approved shop drawings (Procore submittal)</t>
  </si>
  <si>
    <t>FA-02</t>
  </si>
  <si>
    <t>Fire alarm drawings filed with FDNY / DOB as required; approval obtained</t>
  </si>
  <si>
    <t>4–6 weeks</t>
  </si>
  <si>
    <t>FDNY / DOB drawing approval</t>
  </si>
  <si>
    <t>FA-03</t>
  </si>
  <si>
    <t>FACP, RAN and device rough-in complete — Zones A &amp; B</t>
  </si>
  <si>
    <t>Pre-cover inspection sign-off</t>
  </si>
  <si>
    <t>FA-04</t>
  </si>
  <si>
    <t>Pre-cover (pre-drywall) inspection of FA rough-in — HOLD POINT</t>
  </si>
  <si>
    <t>Signed pre-cover inspection record (Procore)</t>
  </si>
  <si>
    <t>FA-05</t>
  </si>
  <si>
    <t>Device trim-out complete — initiating, signaling and notification devices installed</t>
  </si>
  <si>
    <t>Device installation checklist</t>
  </si>
  <si>
    <t>FA-06</t>
  </si>
  <si>
    <t>Above-ceiling inspection before ACT / grid close-up — HOLD POINT</t>
  </si>
  <si>
    <t>Above-ceiling inspection record</t>
  </si>
  <si>
    <t>FA-07</t>
  </si>
  <si>
    <t>Permanent electrical power available to FACP (energisation sequenced ahead of FA testing)</t>
  </si>
  <si>
    <t>Electrical Sub</t>
  </si>
  <si>
    <t>Con Edison energisation letter / panel energised</t>
  </si>
  <si>
    <t>FA-08</t>
  </si>
  <si>
    <t>Device labelling, zone schedule and as-built riser diagram complete</t>
  </si>
  <si>
    <t>As-built riser + zone schedule</t>
  </si>
  <si>
    <t>FA-09</t>
  </si>
  <si>
    <t>100% pre-test of ALL initiating, signaling and notification devices — HOLD POINT</t>
  </si>
  <si>
    <t>FA-05,FA-07</t>
  </si>
  <si>
    <t>FA-10</t>
  </si>
  <si>
    <t>Interface test — HVAC damper closure on alarm verified</t>
  </si>
  <si>
    <t>Signed interface test record</t>
  </si>
  <si>
    <t>FA-11</t>
  </si>
  <si>
    <t>Interface test — door hold-open device release on alarm verified</t>
  </si>
  <si>
    <t>Fire Alarm + Door Hardware Sub</t>
  </si>
  <si>
    <t>FA-12</t>
  </si>
  <si>
    <t>Interface test — sprinkler waterflow and tamper switch supervision to FACP verified</t>
  </si>
  <si>
    <t>Fire Alarm + Sprinkler Subs</t>
  </si>
  <si>
    <t>FA-13</t>
  </si>
  <si>
    <t>Central station monitoring account active; signal transmission verified</t>
  </si>
  <si>
    <t>FA-14</t>
  </si>
  <si>
    <t>All deficiencies from pre-test corrected and re-tested; zero open NCRs on FA system</t>
  </si>
  <si>
    <t>FA-09,FA-10,FA-11,FA-12</t>
  </si>
  <si>
    <t>Closed NCR records (see NCR Log)</t>
  </si>
  <si>
    <t>FA-15</t>
  </si>
  <si>
    <t>TR1 special inspection for fire alarm signed by approved inspector</t>
  </si>
  <si>
    <t>Signed TR1 (fire alarm)</t>
  </si>
  <si>
    <t>FA-16</t>
  </si>
  <si>
    <t>FDNY witness test scheduled — must be on or before latest test date in H4</t>
  </si>
  <si>
    <t>FDNY appointment confirmation</t>
  </si>
  <si>
    <t>FA-17</t>
  </si>
  <si>
    <t>Site readiness for FDNY: approved drawings on site, permits posted, inspector sign-in log ready, escort assigned</t>
  </si>
  <si>
    <t>Readiness checklist + photo record</t>
  </si>
  <si>
    <t>FA-18</t>
  </si>
  <si>
    <t>FDNY WITNESS / ACCEPTANCE TEST — live testing of representative devices</t>
  </si>
  <si>
    <t>FA-16,FA-17</t>
  </si>
  <si>
    <t>FDNY field test record</t>
  </si>
  <si>
    <t>FA-19</t>
  </si>
  <si>
    <t>Re-test window (if required) — deficiencies corrected and FDNY re-witness</t>
  </si>
  <si>
    <t>Fire Alarm Sub / PM</t>
  </si>
  <si>
    <t>Re-test record</t>
  </si>
  <si>
    <t>FA-20</t>
  </si>
  <si>
    <t>FDNY LETTER OF APPROVAL (LOA) ISSUED</t>
  </si>
  <si>
    <t>FDNY Letter of Approval — mandatory for TCO</t>
  </si>
  <si>
    <t>FA-21</t>
  </si>
  <si>
    <t>LOA archived in Procore and added to Certificate and Approvals Binder</t>
  </si>
  <si>
    <t>Procore record + binder entry</t>
  </si>
  <si>
    <t>FA-22</t>
  </si>
  <si>
    <t>Owner training on fire alarm system delivered and documented</t>
  </si>
  <si>
    <t>FA-23</t>
  </si>
  <si>
    <t>Fire alarm O&amp;M manual, warranty and as-builts turned over</t>
  </si>
  <si>
    <t>O&amp;M manual + warranty letter</t>
  </si>
  <si>
    <t>SAUNALOUNGE — NYC DEPARTMENT OF HEALTH (DOHMH) COMPLIANCE CHECKLIST  |  FIRST PASS</t>
  </si>
  <si>
    <t>FIRST PASS — awareness and coordination checklist, NOT a code compliance certification. Pool, sauna and cold plunge are Owner's Separate Trades under Contract §12.4: furnished, installed, tested and commissioned by the Owner's vendors. Affect Build coordinates access, utility readiness and scheduling, and is NOT responsible for design or performance certification of these systems. EVERY numeric criterion and code citation below must be confirmed by the Owner's DOH consultant and the pool designer against NYS Sanitary Code Subpart 6-1, NYC Health Code Article 165 and Article 81 before it is relied upon.</t>
  </si>
  <si>
    <t>Total Items</t>
  </si>
  <si>
    <t>Verified</t>
  </si>
  <si>
    <t>Affect Build Items</t>
  </si>
  <si>
    <t>% Verified</t>
  </si>
  <si>
    <t>ID</t>
  </si>
  <si>
    <t>Item / Requirement to Verify</t>
  </si>
  <si>
    <t>Responsibility</t>
  </si>
  <si>
    <t>Affect Build Interface / Exposure</t>
  </si>
  <si>
    <t>Verified By</t>
  </si>
  <si>
    <t>Date</t>
  </si>
  <si>
    <t>Reference to Confirm</t>
  </si>
  <si>
    <t>A.  PERMITS, PLAN APPROVAL &amp; ADMINISTRATION</t>
  </si>
  <si>
    <t>H-01</t>
  </si>
  <si>
    <t>Pool / spa construction plans submitted to and approved by DOHMH before construction of the pool shell</t>
  </si>
  <si>
    <t>Owner / DOH Consultant</t>
  </si>
  <si>
    <t>AB must not build out enclosing finishes until plan approval is confirmed</t>
  </si>
  <si>
    <t>Stamped approved DOH plan set</t>
  </si>
  <si>
    <t>NYC Health Code Art. 165 / NYS Subpart 6-1</t>
  </si>
  <si>
    <t>H-02</t>
  </si>
  <si>
    <t>Confirm whether the facility is classified as a swimming pool, spa, or both — classification drives the applicable requirements</t>
  </si>
  <si>
    <t>Drives ventilation, drainage and finish requirements in AB scope</t>
  </si>
  <si>
    <t>Written DOH classification determination</t>
  </si>
  <si>
    <t>Subpart 6-1 definitions</t>
  </si>
  <si>
    <t>H-03</t>
  </si>
  <si>
    <t>DOH Permit to Operate application filed; permit issued prior to public use</t>
  </si>
  <si>
    <t>Prerequisite to TCO for pool / sauna areas (CMP §20.3)</t>
  </si>
  <si>
    <t>Issued DOH Permit to Operate</t>
  </si>
  <si>
    <t>Art. 165</t>
  </si>
  <si>
    <t>H-04</t>
  </si>
  <si>
    <t>Food Service Establishment permit application for kitchen and bar filed with DOHMH</t>
  </si>
  <si>
    <t>AB builds out kitchen / bar to DOH-acceptable finishes and equipment rough-in</t>
  </si>
  <si>
    <t>FSE permit application + issued permit</t>
  </si>
  <si>
    <t>NYC Health Code Art. 81</t>
  </si>
  <si>
    <t>H-05</t>
  </si>
  <si>
    <t>Food service plan review / pre-permit inspection scheduled with DOHMH</t>
  </si>
  <si>
    <t>AB coordinates access and completion sequencing</t>
  </si>
  <si>
    <t>Plan review approval letter</t>
  </si>
  <si>
    <t>Art. 81</t>
  </si>
  <si>
    <t>H-06</t>
  </si>
  <si>
    <t>Owner's DOH consultant engaged and scope of responsibility documented in writing</t>
  </si>
  <si>
    <t>Clarifies the boundary between AB scope and Owner's vendors</t>
  </si>
  <si>
    <t>Consultant agreement / scope letter</t>
  </si>
  <si>
    <t>Contract §12.4</t>
  </si>
  <si>
    <t>H-07</t>
  </si>
  <si>
    <t>Certified Pool Operator (CPO) or equivalent qualified operator identified before opening</t>
  </si>
  <si>
    <t>None — Owner responsibility; note in turnover package</t>
  </si>
  <si>
    <t>CPO certificate</t>
  </si>
  <si>
    <t>Subpart 6-1</t>
  </si>
  <si>
    <t>H-08</t>
  </si>
  <si>
    <t>Safety plan / operation &amp; maintenance plan prepared and submitted as required</t>
  </si>
  <si>
    <t>AB provides equipment O&amp;M data to support the plan</t>
  </si>
  <si>
    <t>Approved safety plan</t>
  </si>
  <si>
    <t>H-09</t>
  </si>
  <si>
    <t>Confirm whether lifeguard supervision is required for this facility, or 'no lifeguard' operation is permitted</t>
  </si>
  <si>
    <t>Determines required signage that AB may install</t>
  </si>
  <si>
    <t>Written DOH determination</t>
  </si>
  <si>
    <t>B.  POOL / SPA STRUCTURE, FINISHES &amp; DECK</t>
  </si>
  <si>
    <t>H-10</t>
  </si>
  <si>
    <t>Pool shell structure and interior finish light in colour, smooth, non-toxic, easily cleaned and non-slip where required</t>
  </si>
  <si>
    <t>AB interface at coping / deck transition only</t>
  </si>
  <si>
    <t>Product data + DOH approval</t>
  </si>
  <si>
    <t>H-11</t>
  </si>
  <si>
    <t>Water depth markings and 'NO DIVING' markings provided at required locations, contrasting and slip-resistant</t>
  </si>
  <si>
    <t>Confirm tile / marking supply responsibility — AB tile scope excludes coping and waterline band</t>
  </si>
  <si>
    <t>Photo record + approved layout</t>
  </si>
  <si>
    <t>H-12</t>
  </si>
  <si>
    <t>Depth transition / break in slope clearly marked; safety line and anchors provided where required</t>
  </si>
  <si>
    <t>None</t>
  </si>
  <si>
    <t>Approved layout</t>
  </si>
  <si>
    <t>H-13</t>
  </si>
  <si>
    <t>Steps, ladders, handrails and recessed treads provided, slip-resistant and securely anchored</t>
  </si>
  <si>
    <t>AB verifies anchorage substrate where anchors land in AB-installed work</t>
  </si>
  <si>
    <t>Installation certification</t>
  </si>
  <si>
    <t>H-14</t>
  </si>
  <si>
    <t>Deck surface slip-resistant, sloped to drain away from the pool, free of standing water</t>
  </si>
  <si>
    <t>Shared — AB / Owner's Vendor</t>
  </si>
  <si>
    <t>AB tile / topping scope at pool deck — slope and slip resistance are AB deliverables</t>
  </si>
  <si>
    <t>Slope survey + COF test data for tile</t>
  </si>
  <si>
    <t>Subpart 6-1 / TCNA</t>
  </si>
  <si>
    <t>H-15</t>
  </si>
  <si>
    <t>Minimum unobstructed deck width around the pool perimeter maintained</t>
  </si>
  <si>
    <t>AB layout and framing must not encroach — verify against approved DOH plan</t>
  </si>
  <si>
    <t>Dimensioned as-built plan</t>
  </si>
  <si>
    <t>Subpart 6-1 — VERIFY DIMENSION</t>
  </si>
  <si>
    <t>H-16</t>
  </si>
  <si>
    <t>Deck drainage provided; deck drains do not discharge to the pool recirculation system</t>
  </si>
  <si>
    <t>AB plumbing scope — trench / floor drains and slope</t>
  </si>
  <si>
    <t>Approved plumbing plan + as-built</t>
  </si>
  <si>
    <t>Subpart 6-1 / NYC PC</t>
  </si>
  <si>
    <t>H-17</t>
  </si>
  <si>
    <t>Coping, waterline contrast band, step / bench nose tile and plaster finish installed by the pool specialist</t>
  </si>
  <si>
    <t>EXPLICITLY EXCLUDED from AB tile scope per Client Summary — confirm no gap in scope</t>
  </si>
  <si>
    <t>Scope confirmation letter</t>
  </si>
  <si>
    <t>Client Summary / Contract §12.4</t>
  </si>
  <si>
    <t>H-18</t>
  </si>
  <si>
    <t>No sharp edges, protrusions or entrapment gaps in the pool, spa or plunge basin</t>
  </si>
  <si>
    <t>AB verifies none created by adjacent AB work</t>
  </si>
  <si>
    <t>Joint inspection record</t>
  </si>
  <si>
    <t>H-19</t>
  </si>
  <si>
    <t>Barrier / enclosure preventing unsupervised access, with self-closing and self-latching gates where required</t>
  </si>
  <si>
    <t>AB may install partitions, doors and hardware forming the barrier</t>
  </si>
  <si>
    <t>Approved barrier detail + hardware submittal</t>
  </si>
  <si>
    <t>Subpart 6-1 / Art. 165</t>
  </si>
  <si>
    <t>C.  CIRCULATION, FILTRATION &amp; TURNOVER</t>
  </si>
  <si>
    <t>H-20</t>
  </si>
  <si>
    <t>Recirculation system sized to achieve the required turnover rate for each body of water</t>
  </si>
  <si>
    <t>AB provides electrical and plumbing rough-in and equipment room readiness only</t>
  </si>
  <si>
    <t>Designer's turnover calculation</t>
  </si>
  <si>
    <t>Subpart 6-1 — VERIFY TURNOVER RATE</t>
  </si>
  <si>
    <t>H-21</t>
  </si>
  <si>
    <t>Filtration system type, rate and media approved; filter gauges and sight glass provided</t>
  </si>
  <si>
    <t>AB equipment room space, drainage and utilities</t>
  </si>
  <si>
    <t>Equipment submittal + DOH approval</t>
  </si>
  <si>
    <t>H-22</t>
  </si>
  <si>
    <t>Flow meter installed, accessible and readable on the recirculation line</t>
  </si>
  <si>
    <t>AB piping access and lighting in equipment room</t>
  </si>
  <si>
    <t>Photo record</t>
  </si>
  <si>
    <t>H-23</t>
  </si>
  <si>
    <t>Hair and lint strainer provided ahead of the pump; accessible for cleaning</t>
  </si>
  <si>
    <t>AB clearance and drainage provision</t>
  </si>
  <si>
    <t>Equipment submittal</t>
  </si>
  <si>
    <t>H-24</t>
  </si>
  <si>
    <t>Make-up water supplied through an approved air gap or backflow prevention — no direct connection</t>
  </si>
  <si>
    <t>AB plumbing scope — make-up water connection and backflow device</t>
  </si>
  <si>
    <t>DEP backflow certification + DOH acceptance</t>
  </si>
  <si>
    <t>H-25</t>
  </si>
  <si>
    <t>Pool equipment room floor drainage, sump and pump-out provided; room does not flood</t>
  </si>
  <si>
    <t>AB slab, waterproofing, drainage and sump in AB scope</t>
  </si>
  <si>
    <t>As-built plumbing + flood test record</t>
  </si>
  <si>
    <t>H-26</t>
  </si>
  <si>
    <t>Piping labelled and valve chart posted in the equipment room</t>
  </si>
  <si>
    <t>AB labels AB-installed piping; vendor labels vendor piping</t>
  </si>
  <si>
    <t>Photo record + valve chart</t>
  </si>
  <si>
    <t>Best practice / Subpart 6-1</t>
  </si>
  <si>
    <t>H-27</t>
  </si>
  <si>
    <t>Gutter / skimmer / overflow system provided per approved design</t>
  </si>
  <si>
    <t>AB interface at deck edge</t>
  </si>
  <si>
    <t>Approved design</t>
  </si>
  <si>
    <t>D.  DISINFECTION, CHEMISTRY &amp; CHEMICAL STORAGE</t>
  </si>
  <si>
    <t>H-28</t>
  </si>
  <si>
    <t>Automated disinfectant feeder and pH control provided; capable of maintaining required residuals</t>
  </si>
  <si>
    <t>AB power and drainage to chemical controller location</t>
  </si>
  <si>
    <t>H-29</t>
  </si>
  <si>
    <t>Automated chemical controller with ORP / pH monitoring installed where required</t>
  </si>
  <si>
    <t>AB power and low-voltage rough-in</t>
  </si>
  <si>
    <t>H-30</t>
  </si>
  <si>
    <t>Chemical storage room / area separated, ventilated, with secondary containment and no incompatible storage</t>
  </si>
  <si>
    <t>AB constructs and ventilates the chemical storage area — MEP and finishes in AB scope</t>
  </si>
  <si>
    <t>Approved layout + ventilation calc</t>
  </si>
  <si>
    <t>Subpart 6-1 / FDNY / NYC MC</t>
  </si>
  <si>
    <t>H-31</t>
  </si>
  <si>
    <t>Eyewash / emergency shower provided at the chemical storage area if required</t>
  </si>
  <si>
    <t>AB plumbing scope if required</t>
  </si>
  <si>
    <t>Approved plumbing plan</t>
  </si>
  <si>
    <t>OSHA / Subpart 6-1 — VERIFY</t>
  </si>
  <si>
    <t>H-32</t>
  </si>
  <si>
    <t>Test kit(s) appropriate to the disinfectant in use provided on site</t>
  </si>
  <si>
    <t>Purchase record</t>
  </si>
  <si>
    <t>H-33</t>
  </si>
  <si>
    <t>Water chemistry, temperature and clarity logs established before opening</t>
  </si>
  <si>
    <t>Blank log sheets / digital log</t>
  </si>
  <si>
    <t>H-34</t>
  </si>
  <si>
    <t>Spa / hot tub water temperature limited and temperature display provided</t>
  </si>
  <si>
    <t>AB power to controls</t>
  </si>
  <si>
    <t>Subpart 6-1 — VERIFY MAX TEMP</t>
  </si>
  <si>
    <t>H-35</t>
  </si>
  <si>
    <t>Cold plunge sanitation, filtration and turnover addressed in the approved design</t>
  </si>
  <si>
    <t>AB rough-in only</t>
  </si>
  <si>
    <t>E.  ANTI-ENTRAPMENT &amp; SUCTION OUTLETS (VGB)</t>
  </si>
  <si>
    <t>H-36</t>
  </si>
  <si>
    <t>All suction outlets fitted with approved anti-entrapment covers (VGB compliant), within listing date</t>
  </si>
  <si>
    <t>None — but confirm before AB closes any access</t>
  </si>
  <si>
    <t>Cover certification + installation record</t>
  </si>
  <si>
    <t>Virginia Graeme Baker Pool &amp; Spa Safety Act</t>
  </si>
  <si>
    <t>H-37</t>
  </si>
  <si>
    <t>Dual drains, unblockable outlet, or approved SVRS / vent system provided as required</t>
  </si>
  <si>
    <t>AB verifies access panels preserved for future service</t>
  </si>
  <si>
    <t>Approved design + certification</t>
  </si>
  <si>
    <t>VGB Act / Subpart 6-1</t>
  </si>
  <si>
    <t>H-38</t>
  </si>
  <si>
    <t>Emergency shut-off for pump(s) provided, clearly labelled and accessible from the pool deck</t>
  </si>
  <si>
    <t>AB electrical scope — device location, labelling and accessibility</t>
  </si>
  <si>
    <t>Electrical as-built + photo</t>
  </si>
  <si>
    <t>H-39</t>
  </si>
  <si>
    <t>Main drain visible from the deck / water clarity sufficient to see the bottom</t>
  </si>
  <si>
    <t>Clarity test record</t>
  </si>
  <si>
    <t>F.  SAFETY EQUIPMENT, SIGNAGE &amp; SUPERVISION</t>
  </si>
  <si>
    <t>H-40</t>
  </si>
  <si>
    <t>Ring buoy with line and reaching pole / shepherd's hook provided and mounted</t>
  </si>
  <si>
    <t>AB provides blocking / backing in walls where mounted</t>
  </si>
  <si>
    <t>H-41</t>
  </si>
  <si>
    <t>First aid kit, spineboard and rescue equipment provided as required</t>
  </si>
  <si>
    <t>AB provides mounting substrate if wall-mounted</t>
  </si>
  <si>
    <t>H-42</t>
  </si>
  <si>
    <t>Emergency telephone or communication device accessible from the pool deck</t>
  </si>
  <si>
    <t>AB low-voltage rough-in and device location</t>
  </si>
  <si>
    <t>Photo record + as-built</t>
  </si>
  <si>
    <t>H-43</t>
  </si>
  <si>
    <t>Required signage posted: capacity / bather load, pool rules, no diving, no lifeguard on duty, emergency numbers</t>
  </si>
  <si>
    <t>AB signage scope may include fabrication and installation — confirm who supplies DOH-specific signage</t>
  </si>
  <si>
    <t>Signage schedule + photo record</t>
  </si>
  <si>
    <t>H-44</t>
  </si>
  <si>
    <t>Bather load / maximum capacity calculated and posted</t>
  </si>
  <si>
    <t>Affects egress and fixture counts already built by AB — verify no conflict</t>
  </si>
  <si>
    <t>Capacity calculation</t>
  </si>
  <si>
    <t>H-45</t>
  </si>
  <si>
    <t>Emergency egress from the pool room unobstructed and compliant</t>
  </si>
  <si>
    <t>AB scope — doors, hardware, egress path, signage</t>
  </si>
  <si>
    <t>Egress plan + FDNY / DOB sign-off</t>
  </si>
  <si>
    <t>NYC BC / FDNY</t>
  </si>
  <si>
    <t>G.  SANITARY FACILITIES &amp; BATHHOUSE</t>
  </si>
  <si>
    <t>H-46</t>
  </si>
  <si>
    <t>Toilet, lavatory and shower fixture counts meet the required ratio for the posted bather load</t>
  </si>
  <si>
    <t>AB installs all fixtures — a shortfall is an AB rework exposure. Verify counts against DOH bather load NOW</t>
  </si>
  <si>
    <t>Owner / DOH Consultant calculation + AB fixture schedule</t>
  </si>
  <si>
    <t>Subpart 6-1 / NYC PC — VERIFY RATIOS</t>
  </si>
  <si>
    <t>H-47</t>
  </si>
  <si>
    <t>Separate facilities provided for each sex as required (men's and women's locker rooms)</t>
  </si>
  <si>
    <t>AB scope — layout per approved plans</t>
  </si>
  <si>
    <t>Approved architectural plan</t>
  </si>
  <si>
    <t>Subpart 6-1 / NYC BC</t>
  </si>
  <si>
    <t>H-48</t>
  </si>
  <si>
    <t>Cleansing showers provided on the route from the locker rooms to the pool deck</t>
  </si>
  <si>
    <t>AB plumbing and finish scope — verify route is enforced by the layout</t>
  </si>
  <si>
    <t>Approved plan + as-built</t>
  </si>
  <si>
    <t>H-49</t>
  </si>
  <si>
    <t>Hot water provided at showers and lavatories, tempered to limit scald risk</t>
  </si>
  <si>
    <t>AB scope — mixing valves and set points (4x Rheem tankless + ST-120)</t>
  </si>
  <si>
    <t>Commissioning record with recorded set points</t>
  </si>
  <si>
    <t>NYC PC — VERIFY MAX TEMP</t>
  </si>
  <si>
    <t>H-50</t>
  </si>
  <si>
    <t>Soap and hand-drying provided at all lavatories</t>
  </si>
  <si>
    <t>AB installs dispensers if in the specialties scope</t>
  </si>
  <si>
    <t>Subpart 6-1 / Art. 81</t>
  </si>
  <si>
    <t>H-51</t>
  </si>
  <si>
    <t>Floors in locker rooms, showers and toilet rooms impervious, slip-resistant, coved and sloped to drain</t>
  </si>
  <si>
    <t>AB tile, waterproofing and drainage scope — core AB exposure</t>
  </si>
  <si>
    <t>Slope survey + COF data + flood test</t>
  </si>
  <si>
    <t>H-52</t>
  </si>
  <si>
    <t>Walls and partitions in wet areas smooth, impervious and easily cleaned to the required height</t>
  </si>
  <si>
    <t>AB tile, GWB and waterproofing scope</t>
  </si>
  <si>
    <t>Approved finish schedule + photo record</t>
  </si>
  <si>
    <t>H-53</t>
  </si>
  <si>
    <t>Toilet partitions and benches non-absorbent and cleanable</t>
  </si>
  <si>
    <t>AB specialties scope</t>
  </si>
  <si>
    <t>Product data</t>
  </si>
  <si>
    <t>Art. 81 / Subpart 6-1</t>
  </si>
  <si>
    <t>H-54</t>
  </si>
  <si>
    <t>Locker room and toilet room ventilation / exhaust provided at the required air change rate</t>
  </si>
  <si>
    <t>AB mechanical scope — ERV / exhaust fans</t>
  </si>
  <si>
    <t>TAB report with recorded CFM</t>
  </si>
  <si>
    <t>NYC MC — VERIFY ACH</t>
  </si>
  <si>
    <t>H-55</t>
  </si>
  <si>
    <t>Drinking water available to bathers</t>
  </si>
  <si>
    <t>AB plumbing rough-in if a fountain / filler is provided</t>
  </si>
  <si>
    <t>As-built plumbing</t>
  </si>
  <si>
    <t>H-56</t>
  </si>
  <si>
    <t>Waste receptacles and cleaning / janitorial provision (mop sink) provided</t>
  </si>
  <si>
    <t>AB plumbing and specialties scope</t>
  </si>
  <si>
    <t>H.  POOL ROOM ENVIRONMENT — VENTILATION, HUMIDITY &amp; LIGHTING</t>
  </si>
  <si>
    <t>H-57</t>
  </si>
  <si>
    <t>Pool room mechanical ventilation and dehumidification sized per code and design (PDU-1 Dectron with dry cooler)</t>
  </si>
  <si>
    <t>AB mechanical scope — a core AB deliverable and Tier 3 DFOW (D-10)</t>
  </si>
  <si>
    <t>Certified startup + FPT + TAB report</t>
  </si>
  <si>
    <t>NYC MC / ASHRAE 62.1 — VERIFY RATE</t>
  </si>
  <si>
    <t>H-58</t>
  </si>
  <si>
    <t>Pool room maintained at negative pressure relative to adjacent spaces to control humidity and odour migration</t>
  </si>
  <si>
    <t>AB mechanical scope — verify during TAB</t>
  </si>
  <si>
    <t>TAB report showing pressure relationship</t>
  </si>
  <si>
    <t>NYC MC / ASHRAE</t>
  </si>
  <si>
    <t>H-59</t>
  </si>
  <si>
    <t>Relative humidity and space temperature control verified and documented</t>
  </si>
  <si>
    <t>AB mechanical scope</t>
  </si>
  <si>
    <t>Commissioning record</t>
  </si>
  <si>
    <t>Design basis / ASHRAE</t>
  </si>
  <si>
    <t>H-60</t>
  </si>
  <si>
    <t>Corrosion-resistant materials used throughout the pool room (ductwork, fasteners, hardware, ceiling grid, light fixtures)</t>
  </si>
  <si>
    <t>AB scope across multiple trades — a common defect source in pool fitouts</t>
  </si>
  <si>
    <t>Product data for each material</t>
  </si>
  <si>
    <t>Design basis / manufacturer</t>
  </si>
  <si>
    <t>H-61</t>
  </si>
  <si>
    <t>Deck and underwater lighting levels meet the required minimum; underwater lights bonded and GFCI protected</t>
  </si>
  <si>
    <t>AB electrical scope for deck lighting; vendor for underwater fixtures</t>
  </si>
  <si>
    <t>Photometric data + electrical test record</t>
  </si>
  <si>
    <t>Subpart 6-1 / NEC Art. 680 — VERIFY LUX</t>
  </si>
  <si>
    <t>H-62</t>
  </si>
  <si>
    <t>Emergency and egress lighting provided in the pool room and locker rooms</t>
  </si>
  <si>
    <t>AB electrical scope — also a CGI Public Assembly inspection item</t>
  </si>
  <si>
    <t>Emergency lighting test record</t>
  </si>
  <si>
    <t>NYC BC / CGI matrix</t>
  </si>
  <si>
    <t>H-63</t>
  </si>
  <si>
    <t>Equipotential bonding of pool shell, deck reinforcement, ladders, rails and all metal within the required distance</t>
  </si>
  <si>
    <t>AB electrical scope for bonding grid — HOLD POINT before deck / slab cover-up</t>
  </si>
  <si>
    <t>Bonding continuity test record + photos</t>
  </si>
  <si>
    <t>NEC Art. 680</t>
  </si>
  <si>
    <t>H-64</t>
  </si>
  <si>
    <t>No overhead electrical conductors or unapproved equipment within the prohibited zone above the pool</t>
  </si>
  <si>
    <t>AB electrical and MEP coordination scope</t>
  </si>
  <si>
    <t>Coordination drawing + as-built</t>
  </si>
  <si>
    <t>I.  SAUNA, STEAM &amp; COLD PLUNGE</t>
  </si>
  <si>
    <t>H-65</t>
  </si>
  <si>
    <t>Sauna door swings outward and is not fitted with a latch or lock that can trap an occupant</t>
  </si>
  <si>
    <t>AB verifies door hardware if AB supplies the door</t>
  </si>
  <si>
    <t>Hardware submittal + photo</t>
  </si>
  <si>
    <t>NYC BC / manufacturer</t>
  </si>
  <si>
    <t>H-66</t>
  </si>
  <si>
    <t>Sauna heater guard, thermostat, high-limit cut-out and timer provided per manufacturer and code</t>
  </si>
  <si>
    <t>AB electrical circuit and disconnect</t>
  </si>
  <si>
    <t>Equipment submittal + startup record</t>
  </si>
  <si>
    <t>Manufacturer / NEC</t>
  </si>
  <si>
    <t>H-67</t>
  </si>
  <si>
    <t>Sauna interior finish material approved for the application; no toxic finishes or coatings</t>
  </si>
  <si>
    <t>AB verifies no AB-applied finish enters the sauna envelope</t>
  </si>
  <si>
    <t>Manufacturer / Art. 165</t>
  </si>
  <si>
    <t>H-68</t>
  </si>
  <si>
    <t>Emergency call / alarm device provided in sauna and steam rooms if required</t>
  </si>
  <si>
    <t>AB low-voltage rough-in</t>
  </si>
  <si>
    <t>As-built + test record</t>
  </si>
  <si>
    <t>VERIFY REQUIREMENT</t>
  </si>
  <si>
    <t>H-69</t>
  </si>
  <si>
    <t>Steam room (if provided) sloped ceiling, drainage and vapour-tight construction verified</t>
  </si>
  <si>
    <t>AB waterproofing and drainage scope at the interface</t>
  </si>
  <si>
    <t>Approved detail + flood test</t>
  </si>
  <si>
    <t>Manufacturer / Subpart 6-1</t>
  </si>
  <si>
    <t>H-70</t>
  </si>
  <si>
    <t>Sauna, steam and plunge room floors slip-resistant and drained</t>
  </si>
  <si>
    <t>AB tile, waterproofing and drainage scope</t>
  </si>
  <si>
    <t>Slope survey + COF data</t>
  </si>
  <si>
    <t>H-71</t>
  </si>
  <si>
    <t>Maximum occupancy and use-duration signage posted for sauna, steam and cold plunge</t>
  </si>
  <si>
    <t>AB signage installation if in scope</t>
  </si>
  <si>
    <t>Subpart 6-1 / manufacturer</t>
  </si>
  <si>
    <t>H-72</t>
  </si>
  <si>
    <t>Cold plunge water temperature control, disinfection and drain-down procedure documented</t>
  </si>
  <si>
    <t>AB rough-in and drainage only</t>
  </si>
  <si>
    <t>Approved design + O&amp;M</t>
  </si>
  <si>
    <t>J.  WATER SUPPLY, WASTE &amp; CROSS-CONNECTION CONTROL</t>
  </si>
  <si>
    <t>H-73</t>
  </si>
  <si>
    <t>Potable water supply protected from cross-connection throughout the premises</t>
  </si>
  <si>
    <t>AB plumbing scope — core AB deliverable</t>
  </si>
  <si>
    <t>DEP backflow certification</t>
  </si>
  <si>
    <t>NYC PC / DEP</t>
  </si>
  <si>
    <t>H-74</t>
  </si>
  <si>
    <t>Backflow prevention devices installed, tested and certified before occupancy</t>
  </si>
  <si>
    <t>AB plumbing scope — links to Path to TCO gate D10</t>
  </si>
  <si>
    <t>Certified backflow test report</t>
  </si>
  <si>
    <t>H-75</t>
  </si>
  <si>
    <t>Pool / spa waste and backwash discharged to sanitary sewer via approved means, not to storm</t>
  </si>
  <si>
    <t>AB plumbing scope for the connection</t>
  </si>
  <si>
    <t>Approved plumbing plan + DEP approval</t>
  </si>
  <si>
    <t>H-76</t>
  </si>
  <si>
    <t>No direct connection between pool piping and the potable water system or the sanitary drainage system</t>
  </si>
  <si>
    <t>AB plumbing scope</t>
  </si>
  <si>
    <t>NYC PC</t>
  </si>
  <si>
    <t>H-77</t>
  </si>
  <si>
    <t>Water heater / storage temperatures and any Legionella risk management measures addressed</t>
  </si>
  <si>
    <t>AB installs the equipment; Owner operates. Confirm whether a water management plan is required</t>
  </si>
  <si>
    <t>Set-point record + plan if required</t>
  </si>
  <si>
    <t>ASHRAE 188 — VERIFY APPLICABILITY</t>
  </si>
  <si>
    <t>K.  FOOD SERVICE — KITCHEN &amp; BAR (NYC HEALTH CODE ARTICLE 81)</t>
  </si>
  <si>
    <t>H-78</t>
  </si>
  <si>
    <t>Kitchen and bar floors, walls and ceilings smooth, non-absorbent, light-coloured and easily cleanable</t>
  </si>
  <si>
    <t>AB finish scope — a core AB deliverable and a common DOH failure point</t>
  </si>
  <si>
    <t>H-79</t>
  </si>
  <si>
    <t>Coving provided at all floor-to-wall junctions in food preparation and storage areas</t>
  </si>
  <si>
    <t>AB tile / flooring scope — verify coving detail is in the approved shop drawings</t>
  </si>
  <si>
    <t>Approved detail + photo record</t>
  </si>
  <si>
    <t>H-80</t>
  </si>
  <si>
    <t>Hand-wash sink(s) provided in the kitchen and bar, dedicated, accessible and with hot and cold water</t>
  </si>
  <si>
    <t>AB plumbing scope — dedicated handwash is frequently missed at bars</t>
  </si>
  <si>
    <t>As-built plumbing + photo</t>
  </si>
  <si>
    <t>H-81</t>
  </si>
  <si>
    <t>Three-compartment sink (or approved warewashing) with drainboards provided</t>
  </si>
  <si>
    <t>AB plumbing rough-in; equipment by Owner's kitchen vendor</t>
  </si>
  <si>
    <t>Equipment submittal + as-built</t>
  </si>
  <si>
    <t>H-82</t>
  </si>
  <si>
    <t>Mop / service sink provided and separate from food preparation sinks</t>
  </si>
  <si>
    <t>H-83</t>
  </si>
  <si>
    <t>Grease interceptor / trap provided and sized as required; access maintained</t>
  </si>
  <si>
    <t>AB plumbing scope — verify sizing with the kitchen consultant</t>
  </si>
  <si>
    <t>Sizing calculation + as-built</t>
  </si>
  <si>
    <t>H-84</t>
  </si>
  <si>
    <t>Indirect waste / air gaps provided at all food equipment, ice machines and sinks as required</t>
  </si>
  <si>
    <t>NYC PC / Art. 81</t>
  </si>
  <si>
    <t>H-85</t>
  </si>
  <si>
    <t>Kitchen exhaust hood, make-up air and grease duct installed and balanced (KEF-1 / MUA-1 interlocked)</t>
  </si>
  <si>
    <t>AB mechanical scope — Tier 3 DFOW (D-10)</t>
  </si>
  <si>
    <t>TAB report + interlock test record</t>
  </si>
  <si>
    <t>NYC MC / FDNY / Art. 81</t>
  </si>
  <si>
    <t>H-86</t>
  </si>
  <si>
    <t>Refrigeration and hot-holding equipment capable of holding required temperatures; thermometers provided</t>
  </si>
  <si>
    <t>AB power and drainage rough-in</t>
  </si>
  <si>
    <t>Equipment submittal + startup temps</t>
  </si>
  <si>
    <t>H-87</t>
  </si>
  <si>
    <t>Adequate lighting levels and shielded / shatter-resistant fixtures in food areas</t>
  </si>
  <si>
    <t>AB electrical scope</t>
  </si>
  <si>
    <t>Fixture submittal + photometric data</t>
  </si>
  <si>
    <t>H-88</t>
  </si>
  <si>
    <t>Food-contact and splash surfaces at the bar non-absorbent and sealed (millwork and countertops)</t>
  </si>
  <si>
    <t>AB millwork scope — sealing at wet edges is an AB exposure</t>
  </si>
  <si>
    <t>Millwork shop drawings + photo record</t>
  </si>
  <si>
    <t>H-89</t>
  </si>
  <si>
    <t>Vermin exclusion: all penetrations sealed, door sweeps and screens provided, no gaps at walls or slab</t>
  </si>
  <si>
    <t>AB firestopping, sealing and door hardware scope</t>
  </si>
  <si>
    <t>Photo record + pre-cover inspection</t>
  </si>
  <si>
    <t>H-90</t>
  </si>
  <si>
    <t>Refuse and recycling storage area constructed to be cleanable and vermin-resistant</t>
  </si>
  <si>
    <t>AB finish scope</t>
  </si>
  <si>
    <t>H-91</t>
  </si>
  <si>
    <t>Toilet facilities available for food service staff with hand-wash and self-closing doors</t>
  </si>
  <si>
    <t>AB scope</t>
  </si>
  <si>
    <t>Approved plan</t>
  </si>
  <si>
    <t>L.  OPERATIONS, RECORDS &amp; OPERATOR CERTIFICATION</t>
  </si>
  <si>
    <t>H-92</t>
  </si>
  <si>
    <t>Daily operating log established: disinfectant residual, pH, temperature, clarity, bather count</t>
  </si>
  <si>
    <t>None — include in turnover package</t>
  </si>
  <si>
    <t>Blank / digital log</t>
  </si>
  <si>
    <t>H-93</t>
  </si>
  <si>
    <t>Incident and injury reporting procedure established</t>
  </si>
  <si>
    <t>Written procedure</t>
  </si>
  <si>
    <t>H-94</t>
  </si>
  <si>
    <t>Food safety plan / HACCP and food protection certificate holder identified for the kitchen</t>
  </si>
  <si>
    <t>Certificate + plan</t>
  </si>
  <si>
    <t>H-95</t>
  </si>
  <si>
    <t>O&amp;M manuals, warranties and training for all AB-installed systems serving DOH-regulated spaces turned over</t>
  </si>
  <si>
    <t>AB scope — links to Path to TCO gate F7</t>
  </si>
  <si>
    <t>Certificate and Approvals Binder</t>
  </si>
  <si>
    <t>Playbook A10</t>
  </si>
  <si>
    <t>M.  FINAL DOH INSPECTION &amp; OCCUPANCY</t>
  </si>
  <si>
    <t>H-96</t>
  </si>
  <si>
    <t>Pool / spa filled, balanced and operating for the required period before the DOH inspection</t>
  </si>
  <si>
    <t>AB confirms water, power and drainage available in time</t>
  </si>
  <si>
    <t>Water chemistry log</t>
  </si>
  <si>
    <t>H-97</t>
  </si>
  <si>
    <t>All AB utility readiness complete: electrical energised, plumbing tested, drainage operational, ventilation balanced</t>
  </si>
  <si>
    <t>AB scope — links to Path to TCO gate E1</t>
  </si>
  <si>
    <t>CMP §20.3</t>
  </si>
  <si>
    <t>H-98</t>
  </si>
  <si>
    <t>DOH Pool / Spa final inspection scheduled with minimum 2 weeks notice and AB escort assigned</t>
  </si>
  <si>
    <t>AB coordinates access and escorts the inspector; inspector signs the site log</t>
  </si>
  <si>
    <t>Inspector Sign-In entry + inspection record</t>
  </si>
  <si>
    <t>CMP §20.3 / Trainual SOP</t>
  </si>
  <si>
    <t>H-99</t>
  </si>
  <si>
    <t>DOH Pool / Spa approval certificate issued and archived</t>
  </si>
  <si>
    <t>Mandatory prerequisite to TCO — links to Path to TCO gate E3</t>
  </si>
  <si>
    <t>DOH approval certificate</t>
  </si>
  <si>
    <t>CMP §20.4</t>
  </si>
  <si>
    <t>H-100</t>
  </si>
  <si>
    <t>DOH food service pre-permit inspection passed and permit issued for kitchen / bar</t>
  </si>
  <si>
    <t>AB completes all Article 81 finish and equipment items beforehand</t>
  </si>
  <si>
    <t>Issued FSE permit</t>
  </si>
  <si>
    <t>H-101</t>
  </si>
  <si>
    <t>All DOH certificates added to the Certificate and Approvals Binder for Owner turnover</t>
  </si>
  <si>
    <t>Binder index</t>
  </si>
  <si>
    <t>SAUNALOUNGE — STATUTORY INSPECTION &amp; AGENCY APPROVAL LOG (DOB · FDNY · DOH · DEP · UTILITIES)</t>
  </si>
  <si>
    <t>Superintendent coordinates all inspections 48–72 hours in advance and records results immediately upon completion. Every inspector must sign the physical site log (see Inspector Sign-In tab). Final signed reports are compiled into the closeout package for TCO/CO issuance. (CMP §12.4, §12.6)</t>
  </si>
  <si>
    <t>Passed</t>
  </si>
  <si>
    <t>Failed / Re-inspect</t>
  </si>
  <si>
    <t>Certificates Received</t>
  </si>
  <si>
    <t>Inspection / Approval</t>
  </si>
  <si>
    <t>Agency</t>
  </si>
  <si>
    <t>Discipline</t>
  </si>
  <si>
    <t>DOB NOW / Filing Ref</t>
  </si>
  <si>
    <t>Requested Date</t>
  </si>
  <si>
    <t>Scheduled Date</t>
  </si>
  <si>
    <t>Inspector Name</t>
  </si>
  <si>
    <t>Re-Insp. Date</t>
  </si>
  <si>
    <t>Certificate / Document Received</t>
  </si>
  <si>
    <t>Date Closed</t>
  </si>
  <si>
    <t>Linked TCO Gate</t>
  </si>
  <si>
    <t>S-01</t>
  </si>
  <si>
    <t>PW1 / PW2 permit issuance</t>
  </si>
  <si>
    <t>Permit</t>
  </si>
  <si>
    <t>Open</t>
  </si>
  <si>
    <t>S-02</t>
  </si>
  <si>
    <t>Electrical rough inspection</t>
  </si>
  <si>
    <t>S-03</t>
  </si>
  <si>
    <t>Electrical final inspection / Certificate of Electrical Inspection</t>
  </si>
  <si>
    <t>S-04</t>
  </si>
  <si>
    <t>Con Edison energisation / energisation letter</t>
  </si>
  <si>
    <t>S-05</t>
  </si>
  <si>
    <t>Plumbing rough inspection — water / sanitary / vent</t>
  </si>
  <si>
    <t>S-06</t>
  </si>
  <si>
    <t>Gas pressure test witness — 10 psi / 15 min</t>
  </si>
  <si>
    <t>Gas</t>
  </si>
  <si>
    <t>S-07</t>
  </si>
  <si>
    <t>S-08</t>
  </si>
  <si>
    <t>DOB Boiler Unit inspection — Rheem water heaters</t>
  </si>
  <si>
    <t>S-09</t>
  </si>
  <si>
    <t>S-10</t>
  </si>
  <si>
    <t>Water</t>
  </si>
  <si>
    <t>S-11</t>
  </si>
  <si>
    <t>DEP backflow prevention device certification</t>
  </si>
  <si>
    <t>S-12</t>
  </si>
  <si>
    <t>Sewer</t>
  </si>
  <si>
    <t>S-13</t>
  </si>
  <si>
    <t>Sprinkler hydrostatic test witness — 200 psi / 2 hrs</t>
  </si>
  <si>
    <t>Fire Protection</t>
  </si>
  <si>
    <t>S-14</t>
  </si>
  <si>
    <t>Sprinkler flow test / FDNY field acceptance — waterflow &amp; tamper</t>
  </si>
  <si>
    <t>S-15</t>
  </si>
  <si>
    <t>S-16</t>
  </si>
  <si>
    <t>FDNY Letter of Approval (LOA) issuance</t>
  </si>
  <si>
    <t>S-17</t>
  </si>
  <si>
    <t>Central station alarm transmission verification</t>
  </si>
  <si>
    <t>S-18</t>
  </si>
  <si>
    <t>NYC DOH Pool / Spa final inspection</t>
  </si>
  <si>
    <t>Pool / Spa</t>
  </si>
  <si>
    <t>S-19</t>
  </si>
  <si>
    <t>DOB final building inspection</t>
  </si>
  <si>
    <t>Building</t>
  </si>
  <si>
    <t>S-20</t>
  </si>
  <si>
    <t>TCO issuance</t>
  </si>
  <si>
    <t>S-21</t>
  </si>
  <si>
    <t>Final Certificate of Occupancy issuance</t>
  </si>
  <si>
    <t>S-22</t>
  </si>
  <si>
    <t>DOB Chapter 33 site safety inspection (unannounced)</t>
  </si>
  <si>
    <t>Site Safety</t>
  </si>
  <si>
    <t>S-23</t>
  </si>
  <si>
    <t>FDNY site inspection — hot work / standpipe / egress (unannounced)</t>
  </si>
  <si>
    <t>S-24</t>
  </si>
  <si>
    <t>OSHA inspection (unannounced)</t>
  </si>
  <si>
    <t>OSHA</t>
  </si>
  <si>
    <t>SAUNALOUNGE — SPECIAL INSPECTIONS LOG (NYC BC CHAPTER 17 · TR1 / TR2 / TR3 / TR8)</t>
  </si>
  <si>
    <t>Special Inspections for Tier 3 / Tier 4 DFOWs are MANDATORY HOLD POINTS — work may not advance until the report is received and uploaded to Procore. Notify the agency min. 48 hrs in advance. Every inspector must sign the physical site log. Final TR1 sign-off letter is a mandatory TCO prerequisite. (Playbook A6 / CMP §12.6)</t>
  </si>
  <si>
    <t>Total Events</t>
  </si>
  <si>
    <t>Failed</t>
  </si>
  <si>
    <t>Reports Outstanding</t>
  </si>
  <si>
    <t>Sign-In Verified</t>
  </si>
  <si>
    <t>Special Inspection Type</t>
  </si>
  <si>
    <t>Category / TR Ref</t>
  </si>
  <si>
    <t>Agency / Inspector Firm</t>
  </si>
  <si>
    <t>Frequency / Trigger</t>
  </si>
  <si>
    <t>Location / Zone</t>
  </si>
  <si>
    <t>Notice Given</t>
  </si>
  <si>
    <t>Inspection Date</t>
  </si>
  <si>
    <t>Sign-In Log Verified</t>
  </si>
  <si>
    <t>Report Received</t>
  </si>
  <si>
    <t>Procore Ref</t>
  </si>
  <si>
    <t>NCR Raised</t>
  </si>
  <si>
    <t>SI-01</t>
  </si>
  <si>
    <t>Concrete placement — pool equipment room slab</t>
  </si>
  <si>
    <t>Each pour</t>
  </si>
  <si>
    <t>SI-02</t>
  </si>
  <si>
    <t>Concrete pre-pour rebar, embeds &amp; formwork verification</t>
  </si>
  <si>
    <t>TR3</t>
  </si>
  <si>
    <t>CGI: allow min. 2-3 days to schedule site visit</t>
  </si>
  <si>
    <t>SI-03</t>
  </si>
  <si>
    <t>Concrete compressive strength testing (cylinder breaks)</t>
  </si>
  <si>
    <t>TR2</t>
  </si>
  <si>
    <t>1 set per 50 CY min.</t>
  </si>
  <si>
    <t>SI-04</t>
  </si>
  <si>
    <t>Excavation / support of excavation verification</t>
  </si>
  <si>
    <t>CGI Structural Stability — 2 budgeted visits</t>
  </si>
  <si>
    <t>SI-05</t>
  </si>
  <si>
    <t>Subgrade / soil bearing verification</t>
  </si>
  <si>
    <t>TR4</t>
  </si>
  <si>
    <t>Before slab placement</t>
  </si>
  <si>
    <t>SI-06</t>
  </si>
  <si>
    <t>Waterproofing — wet-area interface (locker rooms, showers, pool deck)</t>
  </si>
  <si>
    <t>Prior to backfill / cover-up</t>
  </si>
  <si>
    <t>Zones A &amp; B wet areas</t>
  </si>
  <si>
    <t>SI-07</t>
  </si>
  <si>
    <t>Waterproofing interface at Owner's pool shell / sauna / cold plunge</t>
  </si>
  <si>
    <t>Prior to cover-up, each interface</t>
  </si>
  <si>
    <t>SI-08</t>
  </si>
  <si>
    <t>Firestopping of rated penetrations</t>
  </si>
  <si>
    <t>Ch.17 Firestop</t>
  </si>
  <si>
    <t>CGI Fire Stopping — inspector must witness installation</t>
  </si>
  <si>
    <t>SI-09</t>
  </si>
  <si>
    <t>Mechanical systems / energy code compliance</t>
  </si>
  <si>
    <t>D-10, D-11</t>
  </si>
  <si>
    <t>CGI Energy Code (EC) progress inspection — 3 budgeted visits</t>
  </si>
  <si>
    <t>SI-10</t>
  </si>
  <si>
    <t>Duct leakage / pressure testing witness</t>
  </si>
  <si>
    <t>CodeGreen Inspection (CGI) / Collectif</t>
  </si>
  <si>
    <t>Each system before close-up</t>
  </si>
  <si>
    <t>CGI MH Systems — 3 budgeted visits; approved HVAC balance report + equipment submittals required prior to sign-off</t>
  </si>
  <si>
    <t>SI-11</t>
  </si>
  <si>
    <t>Mechanical ventilation / exhaust verification</t>
  </si>
  <si>
    <t>CGI MH Systems — prior to installation of ceilings or other finishes</t>
  </si>
  <si>
    <t>SI-12</t>
  </si>
  <si>
    <t>Energy code — insulation, air sealing &amp; lighting controls</t>
  </si>
  <si>
    <t>Progressive, before cover-up</t>
  </si>
  <si>
    <t>CGI Energy Code (EC) progress inspection</t>
  </si>
  <si>
    <t>SI-13</t>
  </si>
  <si>
    <t>Sprinkler system — hydrostatic and flow testing</t>
  </si>
  <si>
    <t>TR1 / FDNY</t>
  </si>
  <si>
    <t>Final acceptance</t>
  </si>
  <si>
    <t>CGI SP Systems hydro test — 1 budgeted visit; prior to connection of new system to building main</t>
  </si>
  <si>
    <t>SI-14</t>
  </si>
  <si>
    <t>Fire alarm system — 100% device acceptance test</t>
  </si>
  <si>
    <t>SI-15</t>
  </si>
  <si>
    <t>Fire-resistance rated construction / penetrations verification</t>
  </si>
  <si>
    <t>Ch.17</t>
  </si>
  <si>
    <t>D-15, D-20</t>
  </si>
  <si>
    <t>CGI Fire Stopping / Fire Proofing</t>
  </si>
  <si>
    <t>SI-16</t>
  </si>
  <si>
    <t>Structural steel / miscellaneous metals connections (if in scope)</t>
  </si>
  <si>
    <t>Each connection type</t>
  </si>
  <si>
    <t>SI-17</t>
  </si>
  <si>
    <t>Post-installed anchors in concrete / masonry</t>
  </si>
  <si>
    <t>Per approved frequency</t>
  </si>
  <si>
    <t>CGI Post Installed Anchors — 1 budgeted visit; installers must be NYC DOB certified; inspector witnesses ALL phases</t>
  </si>
  <si>
    <t>SI-18</t>
  </si>
  <si>
    <t>DOH Pool / Spa inspection (Owner's Separate Trades)</t>
  </si>
  <si>
    <t>NYC DOH Inspector</t>
  </si>
  <si>
    <t>Prior to occupancy of pool / sauna areas</t>
  </si>
  <si>
    <t>SI-19</t>
  </si>
  <si>
    <t>FINAL TR1 SIGN-OFF LETTER — Special Inspection Agency</t>
  </si>
  <si>
    <t>TR1 Final</t>
  </si>
  <si>
    <t>Once, all inspections closed</t>
  </si>
  <si>
    <t>All</t>
  </si>
  <si>
    <t>CGI Directive 14 final sign-off prerequisite</t>
  </si>
  <si>
    <t>SI-20</t>
  </si>
  <si>
    <t>FINAL TR8 SIGN-OFF — Mechanical / Energy</t>
  </si>
  <si>
    <t>TR8 Final</t>
  </si>
  <si>
    <t>All mech.</t>
  </si>
  <si>
    <t>CGI Energy Code final</t>
  </si>
  <si>
    <t>SI-21</t>
  </si>
  <si>
    <t>Preliminary inspection — prior to any work being performed</t>
  </si>
  <si>
    <t>Ch.17 Preliminary</t>
  </si>
  <si>
    <t>Once, before any work commences</t>
  </si>
  <si>
    <t>CGI budgeted: 1 visit. Must occur PRIOR TO any work being performed</t>
  </si>
  <si>
    <t>SI-22</t>
  </si>
  <si>
    <t>Fireproofing — spray-applied / intumescent (if in scope)</t>
  </si>
  <si>
    <t>Ch.17 Fireproofing</t>
  </si>
  <si>
    <t>Progressive during application</t>
  </si>
  <si>
    <t>CGI Fire Proofing inspection type</t>
  </si>
  <si>
    <t>SI-23</t>
  </si>
  <si>
    <t>Public assembly — emergency lighting &amp; exit signs</t>
  </si>
  <si>
    <t>Ch.17 / Public Assembly</t>
  </si>
  <si>
    <t>Once, after installation</t>
  </si>
  <si>
    <t>CGI budgeted: 0 visits — confirm scope. Space must be blacked out or inspect after dark</t>
  </si>
  <si>
    <t>SI-24</t>
  </si>
  <si>
    <t>Directive 14 — final inspection / Owner's Statement of Construction</t>
  </si>
  <si>
    <t>Directive 14 (OT Construct)</t>
  </si>
  <si>
    <t>Once, at completion of all work</t>
  </si>
  <si>
    <t>CGI budgeted: 1 visit. AFTER completion of all approved work AND sign-off of all other controlled inspections</t>
  </si>
  <si>
    <t>CODEGREEN INSPECTION (CGI) — BUDGETED SPECIAL INSPECTION PROGRAMME  |  Matrix ref. 2026-0401  |  Client Rep: Jeffrey Aser, Teal Development Partners (914.319.7493, jeff@tealdevelopment.com)  |  ALLOW MINIMUM 2–3 DAYS TO SCHEDULE A SITE VISIT</t>
  </si>
  <si>
    <t>#</t>
  </si>
  <si>
    <t>CGI Inspection Type</t>
  </si>
  <si>
    <t>Budgeted Visits</t>
  </si>
  <si>
    <t>Trigger — inspect AFTER…</t>
  </si>
  <si>
    <t>Constraint — must occur PRIOR TO…</t>
  </si>
  <si>
    <t>Visits Used</t>
  </si>
  <si>
    <t>Visits Remaining</t>
  </si>
  <si>
    <t>Notes / Conditions</t>
  </si>
  <si>
    <t>Preliminary</t>
  </si>
  <si>
    <t>Any work being performed on site</t>
  </si>
  <si>
    <t>First CGI visit — schedule before mobilisation</t>
  </si>
  <si>
    <t>Structural Stability</t>
  </si>
  <si>
    <t>Approval of shop drawings / demo procedures; AND after excavation and/or exposure of any existing soils, foundation or structure to remain, and installation of all shoring / supports</t>
  </si>
  <si>
    <t>Removal of any structural floor slab, foundation component, structural element, and/or transfer of any permanent load to a modified structure or component</t>
  </si>
  <si>
    <t>Covers pool equipment room excavation and any structural modification</t>
  </si>
  <si>
    <t>Post Installed Anchors</t>
  </si>
  <si>
    <t>Approval of anchors, installation procedures and embedment depth</t>
  </si>
  <si>
    <t>Commencement of installation</t>
  </si>
  <si>
    <t>Inspector must witness ALL phases of installation. Installers must be certified per NYC DOB requirements</t>
  </si>
  <si>
    <t>Fire Stopping</t>
  </si>
  <si>
    <t>Installation of firestop systems at rated penetrations</t>
  </si>
  <si>
    <t>Cover-up of any rated penetration</t>
  </si>
  <si>
    <t>Budgeted visit count not legible on the CGI matrix — confirm with CodeGreen</t>
  </si>
  <si>
    <t>Fire Proofing</t>
  </si>
  <si>
    <t>Application of spray-applied / intumescent fireproofing</t>
  </si>
  <si>
    <t>Enclosure or cover-up</t>
  </si>
  <si>
    <t>Budgeted visit count not legible on the CGI matrix — confirm with CodeGreen; confirm whether in scope for this fitout</t>
  </si>
  <si>
    <t>SP Systems (Sprinkler — hydro test)</t>
  </si>
  <si>
    <t>Completing installation of all piping, hangers and sprinkler heads (concurrent with hydro test)</t>
  </si>
  <si>
    <t>Connection of the new system to the building main</t>
  </si>
  <si>
    <t>Coordinate with the 200 psi / 2 hr hydrostatic test (ITP T-08)</t>
  </si>
  <si>
    <t>MH Systems (Mechanical, Heating, Chimneys)</t>
  </si>
  <si>
    <t>Installation of equipment, ductwork, louvers, dampers, controls and piping</t>
  </si>
  <si>
    <t>Installation of ceilings or other finishes</t>
  </si>
  <si>
    <t>Approved HVAC balance report AND equipment submittals required prior to inspection sign-off</t>
  </si>
  <si>
    <t>Energy Code (EC) — Progress Inspection</t>
  </si>
  <si>
    <t>Installation of heating and/or mechanical equipment, lighting, exit signs, windows and other components whose performance is mandated by the Energy Code</t>
  </si>
  <si>
    <t>Installation of ceilings or other finishes that will hinder inspection</t>
  </si>
  <si>
    <t>TR8 pathway — coordinate with Collectif</t>
  </si>
  <si>
    <t>Public Assembly — Emergency Lighting</t>
  </si>
  <si>
    <t>Emergency lights and exit signs have been installed</t>
  </si>
  <si>
    <t>Space must be blacked out, or inspection scheduled after dark. 0 visits budgeted — confirm scope</t>
  </si>
  <si>
    <t>Directive 14 — Final (Owner's Statement of Construction)</t>
  </si>
  <si>
    <t>Completion of ALL construction work shown on the approved drawings AND sign-off of all other controlled inspections</t>
  </si>
  <si>
    <t>Final CGI visit. Prerequisite to TCO — links to Path to TCO gate B7 / G1</t>
  </si>
  <si>
    <t>TOTAL BUDGETED VISITS</t>
  </si>
  <si>
    <t>SAUNALOUNGE — INSPECTOR SITE SIGN-IN LOG (MANDATORY)</t>
  </si>
  <si>
    <t>NON-NEGOTIABLE: Every inspector — DOB, FDNY, DOH, DEP, Special Inspection Agency, Testing Laboratory, OSHA — must sign in physically on arrival BEFORE conducting any inspection. Required for DOB audit defence and TCO. Maintain a bound ledger at the foreman's desk / site entry; this tab is the digital mirror. Superintendent or designated staff must escort at all times.</t>
  </si>
  <si>
    <t>Time In</t>
  </si>
  <si>
    <t>Time Out</t>
  </si>
  <si>
    <t>Inspector Printed Name</t>
  </si>
  <si>
    <t>Company / Firm</t>
  </si>
  <si>
    <t>Inspection Type</t>
  </si>
  <si>
    <t>Area / Zone Inspected</t>
  </si>
  <si>
    <t>Escorted By (Affect)</t>
  </si>
  <si>
    <t>Report / Log Ref</t>
  </si>
  <si>
    <t>Signature Obtained</t>
  </si>
  <si>
    <t>Uploaded to Procore</t>
  </si>
  <si>
    <t>SAUNALOUNGE — COMMISSIONING, START-UP &amp; TURNOVER MATRIX</t>
  </si>
  <si>
    <t>No system is energised, started or commissioned without documented readiness: Phase 4 inspections closed, PFCs signed, controls point-to-point tested, ZERO open Tier 3/4 deficiencies, and all documentation available. Sequence: pre-functional / vendor startup → functional performance testing → documentation → re-test if required → sign-off. (Playbook A8 / CMP §9)</t>
  </si>
  <si>
    <t>Total Systems</t>
  </si>
  <si>
    <t>FPT Complete</t>
  </si>
  <si>
    <t>Training Complete</t>
  </si>
  <si>
    <t>O&amp;M Received</t>
  </si>
  <si>
    <t>Turnover Readiness</t>
  </si>
  <si>
    <t>Tag</t>
  </si>
  <si>
    <t>System / Equipment</t>
  </si>
  <si>
    <t>Manufacturer / Model</t>
  </si>
  <si>
    <t>Scope By</t>
  </si>
  <si>
    <t>Location</t>
  </si>
  <si>
    <t>Pre-Functional Checklist</t>
  </si>
  <si>
    <t>Vendor Startup Report</t>
  </si>
  <si>
    <t>Point-to-Point / Controls</t>
  </si>
  <si>
    <t>Functional Perf. Test</t>
  </si>
  <si>
    <t>TAB Required</t>
  </si>
  <si>
    <t>Training Delivered</t>
  </si>
  <si>
    <t>O&amp;M Manual</t>
  </si>
  <si>
    <t>Warranty Letter</t>
  </si>
  <si>
    <t>As-Built / Record Dwg</t>
  </si>
  <si>
    <t>RT-1</t>
  </si>
  <si>
    <t>Rooftop heat pump — 15 ton with 30 kW electric heat</t>
  </si>
  <si>
    <t>Thermotek</t>
  </si>
  <si>
    <t>PDU-1</t>
  </si>
  <si>
    <t>Pool room air conditioning unit with outdoor dry cooler</t>
  </si>
  <si>
    <t>Dectron</t>
  </si>
  <si>
    <t>Pool room (Zone B) / Roof</t>
  </si>
  <si>
    <t>ERV-1</t>
  </si>
  <si>
    <t>Energy recovery ventilator</t>
  </si>
  <si>
    <t>Valent / Fantech</t>
  </si>
  <si>
    <t>ERV-2</t>
  </si>
  <si>
    <t>Roof / Zone B</t>
  </si>
  <si>
    <t>AC-1</t>
  </si>
  <si>
    <t>Split system air conditioning unit</t>
  </si>
  <si>
    <t>Mitsubishi</t>
  </si>
  <si>
    <t>AC-2</t>
  </si>
  <si>
    <t>AC-3</t>
  </si>
  <si>
    <t>AC-4</t>
  </si>
  <si>
    <t>Zone B</t>
  </si>
  <si>
    <t>AC-5</t>
  </si>
  <si>
    <t>MUA-1</t>
  </si>
  <si>
    <t>Make-up air unit</t>
  </si>
  <si>
    <t>Greenheck</t>
  </si>
  <si>
    <t>KEF-1</t>
  </si>
  <si>
    <t>Kitchen exhaust fan</t>
  </si>
  <si>
    <t>Roof / Kitchen</t>
  </si>
  <si>
    <t>EF / SF</t>
  </si>
  <si>
    <t>Exhaust and supply fans (general)</t>
  </si>
  <si>
    <t>ACCU-1</t>
  </si>
  <si>
    <t>Air-cooled condensing unit — reconnect</t>
  </si>
  <si>
    <t>Existing</t>
  </si>
  <si>
    <t>ACCU-2</t>
  </si>
  <si>
    <t>ACCU-3</t>
  </si>
  <si>
    <t>Air-cooled condensing unit — new</t>
  </si>
  <si>
    <t>TBC</t>
  </si>
  <si>
    <t>DUCT-A</t>
  </si>
  <si>
    <t>Ductwork Zone A — pressure / leakage test</t>
  </si>
  <si>
    <t>DUCT-B</t>
  </si>
  <si>
    <t>Ductwork Zone B (pool room) — pressure / leakage test</t>
  </si>
  <si>
    <t>SWBD-1</t>
  </si>
  <si>
    <t>Main switchboard</t>
  </si>
  <si>
    <t>Electrical room</t>
  </si>
  <si>
    <t>MP-1</t>
  </si>
  <si>
    <t>Main distribution panel</t>
  </si>
  <si>
    <t>KP-1</t>
  </si>
  <si>
    <t>Kitchen panel</t>
  </si>
  <si>
    <t>Kitchen</t>
  </si>
  <si>
    <t>LP-1</t>
  </si>
  <si>
    <t>Lighting panel</t>
  </si>
  <si>
    <t>RP-1</t>
  </si>
  <si>
    <t>Receptacle panel</t>
  </si>
  <si>
    <t>LTG-CTL</t>
  </si>
  <si>
    <t>Lighting controls / dimming system (Exhibit G allowance)</t>
  </si>
  <si>
    <t>AV / LV</t>
  </si>
  <si>
    <t>Low-voltage, data and AV systems</t>
  </si>
  <si>
    <t>FA-SYS</t>
  </si>
  <si>
    <t>Fire alarm system — FACP, RAN and all devices (100% device test)</t>
  </si>
  <si>
    <t>FS-SYS</t>
  </si>
  <si>
    <t>Fire sprinkler system — 87 new heads, main and branch</t>
  </si>
  <si>
    <t>WH-1</t>
  </si>
  <si>
    <t>Tankless gas water heater</t>
  </si>
  <si>
    <t>Rheem</t>
  </si>
  <si>
    <t>Mechanical room</t>
  </si>
  <si>
    <t>WH-2</t>
  </si>
  <si>
    <t>WH-3</t>
  </si>
  <si>
    <t>WH-4</t>
  </si>
  <si>
    <t>ST-120</t>
  </si>
  <si>
    <t>Hot water storage tank</t>
  </si>
  <si>
    <t>Rheem ST-120</t>
  </si>
  <si>
    <t>GAS-SVC</t>
  </si>
  <si>
    <t>Elevated-pressure gas service connection and activation</t>
  </si>
  <si>
    <t>Con Ed / National Grid</t>
  </si>
  <si>
    <t>Kitchen / mechanical</t>
  </si>
  <si>
    <t>BFP-1</t>
  </si>
  <si>
    <t>Backflow prevention device</t>
  </si>
  <si>
    <t>Water entry</t>
  </si>
  <si>
    <t>EXTR-1</t>
  </si>
  <si>
    <t>Water extractor (voltage substitution per RFI)</t>
  </si>
  <si>
    <t>Suitemate</t>
  </si>
  <si>
    <t>Locker rooms</t>
  </si>
  <si>
    <t>POOL</t>
  </si>
  <si>
    <t>Pool shell, filtration and circulation system</t>
  </si>
  <si>
    <t>Owner's Separate Trades (§12.4)</t>
  </si>
  <si>
    <t>SAUNA</t>
  </si>
  <si>
    <t>Sauna interior assemblies, heater and controls</t>
  </si>
  <si>
    <t>Sauna (Zone B)</t>
  </si>
  <si>
    <t>PLUNGE</t>
  </si>
  <si>
    <t>Cold plunge basin and chiller</t>
  </si>
  <si>
    <t>KITCH</t>
  </si>
  <si>
    <t>Kitchen equipment package</t>
  </si>
  <si>
    <t>SAUNALOUNGE — SUBMITTAL, SAMPLE &amp; MOCK-UP REGISTER</t>
  </si>
  <si>
    <t>No fabrication or procurement begins prior to written approval. Review cross-checks specification compliance, code compliance and coordination with adjacent systems. Mock-ups authorise release of full production — no production begins until the mock-up is formally signed off. Typical A/E review 10–14 calendar days. (CMP §8.5 / Playbook A4, A5.5)</t>
  </si>
  <si>
    <t>Approved</t>
  </si>
  <si>
    <t>Rejected / Revise</t>
  </si>
  <si>
    <t>Long-Lead Items</t>
  </si>
  <si>
    <t>Spec / CSI Section</t>
  </si>
  <si>
    <t>Submittal Description</t>
  </si>
  <si>
    <t>Responsible Sub / Vendor</t>
  </si>
  <si>
    <t>Long Lead</t>
  </si>
  <si>
    <t>Required On Site</t>
  </si>
  <si>
    <t>Date Submitted</t>
  </si>
  <si>
    <t>Reviewer</t>
  </si>
  <si>
    <t>Date Returned</t>
  </si>
  <si>
    <t>Review Status</t>
  </si>
  <si>
    <t>Released for Fab.</t>
  </si>
  <si>
    <t>Mock-Up Sign-Off Date</t>
  </si>
  <si>
    <t>SUB-001</t>
  </si>
  <si>
    <t>HVAC equipment package — RT-1, PDU-1, ERV-1/2, AC-1 to AC-5 (Exhibit C early release)</t>
  </si>
  <si>
    <t>Product Data</t>
  </si>
  <si>
    <t>Mechanical Sub</t>
  </si>
  <si>
    <t>SUB-002</t>
  </si>
  <si>
    <t>Ductwork shop drawings — Zones A &amp; B</t>
  </si>
  <si>
    <t>Shop Drawing</t>
  </si>
  <si>
    <t>SUB-003</t>
  </si>
  <si>
    <t>Refrigerant piping layout and specialties</t>
  </si>
  <si>
    <t>SUB-004</t>
  </si>
  <si>
    <t>Switchgear, panelboards and distribution — SWBD-1, MP-1, KP-1, LP-1, RP-1</t>
  </si>
  <si>
    <t>SUB-005</t>
  </si>
  <si>
    <t>SUB-006</t>
  </si>
  <si>
    <t>26 50 00</t>
  </si>
  <si>
    <t>Lighting fixture package</t>
  </si>
  <si>
    <t>SUB-007</t>
  </si>
  <si>
    <t>Fire alarm shop drawings, device layout and riser diagram</t>
  </si>
  <si>
    <t>SUB-008</t>
  </si>
  <si>
    <t>Fire sprinkler hydraulic calculations and shop drawings (87 heads)</t>
  </si>
  <si>
    <t>Sprinkler Sub</t>
  </si>
  <si>
    <t>SUB-009</t>
  </si>
  <si>
    <t>Plumbing Sub</t>
  </si>
  <si>
    <t>SUB-010</t>
  </si>
  <si>
    <t>22 40 00</t>
  </si>
  <si>
    <t>Plumbing fixtures and trim (incl. Kohler finish substitution per RFI)</t>
  </si>
  <si>
    <t>SUB-011</t>
  </si>
  <si>
    <t>22 11 19</t>
  </si>
  <si>
    <t>Backflow prevention device and DEP certification package</t>
  </si>
  <si>
    <t>SUB-012</t>
  </si>
  <si>
    <t>Suitemate water extractor — voltage substitution (per RFI)</t>
  </si>
  <si>
    <t>SUB-013</t>
  </si>
  <si>
    <t>07 10 00</t>
  </si>
  <si>
    <t>Wet-area waterproofing system — membrane, primers, detailing</t>
  </si>
  <si>
    <t>Waterproofing Sub</t>
  </si>
  <si>
    <t>SUB-014</t>
  </si>
  <si>
    <t>Waterproofing interface details at Owner's pool / sauna assemblies</t>
  </si>
  <si>
    <t>Colberg / Owner's Vendor</t>
  </si>
  <si>
    <t>SUB-015</t>
  </si>
  <si>
    <t>Firestopping — UL listed systems schedule</t>
  </si>
  <si>
    <t>Firestopping Sub</t>
  </si>
  <si>
    <t>SUB-016</t>
  </si>
  <si>
    <t>Roofing / flashing details at RTU-1 curbs and penetrations</t>
  </si>
  <si>
    <t>Roofing Sub</t>
  </si>
  <si>
    <t>SUB-017</t>
  </si>
  <si>
    <t>Concrete mix designs — pool equipment room slab</t>
  </si>
  <si>
    <t>Concrete Sub</t>
  </si>
  <si>
    <t>Structural Engineer</t>
  </si>
  <si>
    <t>SUB-018</t>
  </si>
  <si>
    <t>03 20 00</t>
  </si>
  <si>
    <t>Reinforcing steel shop drawings and bar lists</t>
  </si>
  <si>
    <t>SUB-019</t>
  </si>
  <si>
    <t>Support of excavation drawings (PE-stamped)</t>
  </si>
  <si>
    <t>Excavation Sub</t>
  </si>
  <si>
    <t>SUB-020</t>
  </si>
  <si>
    <t>Metal stud framing — barrel vault and soffit shop drawings</t>
  </si>
  <si>
    <t>Drywall Sub</t>
  </si>
  <si>
    <t>SUB-021</t>
  </si>
  <si>
    <t>Glass block wall system</t>
  </si>
  <si>
    <t>Masonry Sub</t>
  </si>
  <si>
    <t>SUB-022</t>
  </si>
  <si>
    <t>Tile &amp; stone package — TL-1, TL-2, TL-3, setting materials, grout</t>
  </si>
  <si>
    <t>Sample</t>
  </si>
  <si>
    <t>Tile Sub</t>
  </si>
  <si>
    <t>SUB-023</t>
  </si>
  <si>
    <t>Wood flooring — pool / lounge accent</t>
  </si>
  <si>
    <t>Flooring Sub</t>
  </si>
  <si>
    <t>SUB-024</t>
  </si>
  <si>
    <t>09 65 00</t>
  </si>
  <si>
    <t>Resilient flooring and base</t>
  </si>
  <si>
    <t>SUB-025</t>
  </si>
  <si>
    <t>ACT / acoustic ceiling panels and grid</t>
  </si>
  <si>
    <t>Ceiling Sub</t>
  </si>
  <si>
    <t>SUB-026</t>
  </si>
  <si>
    <t>Paint and wall covering schedule</t>
  </si>
  <si>
    <t>Painting Sub</t>
  </si>
  <si>
    <t>SUB-027</t>
  </si>
  <si>
    <t>Millwork shop drawings — lockers, reception desk, entry gates, self-check-in kiosk</t>
  </si>
  <si>
    <t>Millwork Sub</t>
  </si>
  <si>
    <t>SUB-028</t>
  </si>
  <si>
    <t>Millwork shop drawings — bar, coat check, kitchen casework</t>
  </si>
  <si>
    <t>SUB-029</t>
  </si>
  <si>
    <t>Door, frame and hardware schedule (incl. hold-open devices)</t>
  </si>
  <si>
    <t>Door Sub</t>
  </si>
  <si>
    <t>SUB-030</t>
  </si>
  <si>
    <t>Toilet partitions, bath accessories and lockers</t>
  </si>
  <si>
    <t>Specialties Sub</t>
  </si>
  <si>
    <t>SUB-031</t>
  </si>
  <si>
    <t>Signage and wayfinding package</t>
  </si>
  <si>
    <t>Signage Sub</t>
  </si>
  <si>
    <t>MU-01</t>
  </si>
  <si>
    <t>MOCK-UP — Tile &amp; stone: pool deck / shower assembly incl. waterproofing transition</t>
  </si>
  <si>
    <t>Mock-Up</t>
  </si>
  <si>
    <t>D-14, D-01</t>
  </si>
  <si>
    <t>Tile + Waterproofing Subs</t>
  </si>
  <si>
    <t>Q-Team + Architect + Owner</t>
  </si>
  <si>
    <t>MU-02</t>
  </si>
  <si>
    <t>MOCK-UP — GWB Level 5 skim finish panel</t>
  </si>
  <si>
    <t>Q-Team + Architect</t>
  </si>
  <si>
    <t>MU-03</t>
  </si>
  <si>
    <t>MOCK-UP — Locker unit and reception desk first article</t>
  </si>
  <si>
    <t>MU-04</t>
  </si>
  <si>
    <t>MOCK-UP — Polished / sealed concrete floor sample at BOH</t>
  </si>
  <si>
    <t>Concrete Finisher</t>
  </si>
  <si>
    <t>MU-05</t>
  </si>
  <si>
    <t>MOCK-UP — Paint and wall covering sample area</t>
  </si>
  <si>
    <t>MU-06</t>
  </si>
  <si>
    <t>MOCK-UP — Glass block wall panel</t>
  </si>
  <si>
    <t>MU-07</t>
  </si>
  <si>
    <t>MOCK-UP — Firestopping typical penetration (UL system)</t>
  </si>
  <si>
    <t>Q-Team + SIA</t>
  </si>
  <si>
    <t>MU-08</t>
  </si>
  <si>
    <t>MOCK-UP — Wood flooring accent panel at pool / lounge</t>
  </si>
  <si>
    <t>SAUNALOUNGE — DFOW / INSPECTION TYPE MATRIX</t>
  </si>
  <si>
    <t>INSPECTION</t>
  </si>
  <si>
    <t>Control Sample</t>
  </si>
  <si>
    <t>First Delivery</t>
  </si>
  <si>
    <t>Benchmark</t>
  </si>
  <si>
    <t>Mock-up</t>
  </si>
  <si>
    <t>Checklist</t>
  </si>
  <si>
    <t>Handover</t>
  </si>
  <si>
    <t>Q-Team Sign-off</t>
  </si>
  <si>
    <t>Quality Control</t>
  </si>
  <si>
    <t>⬜</t>
  </si>
  <si>
    <t>Waterproofing interface with pool</t>
  </si>
  <si>
    <t>Concrete</t>
  </si>
  <si>
    <t>Self-Levelling</t>
  </si>
  <si>
    <t>Tile Material</t>
  </si>
  <si>
    <t>TL 1</t>
  </si>
  <si>
    <t>TL 2</t>
  </si>
  <si>
    <t>TL 3</t>
  </si>
  <si>
    <t>Tile Install</t>
  </si>
  <si>
    <t>Drywall L 5</t>
  </si>
  <si>
    <t>Polished Concrete</t>
  </si>
  <si>
    <t>Countertops</t>
  </si>
  <si>
    <t>Blocking</t>
  </si>
  <si>
    <t>Millwork</t>
  </si>
  <si>
    <t>Bathroom Stalls</t>
  </si>
  <si>
    <t>Roofing Flood Test</t>
  </si>
  <si>
    <t>Lighting Controls</t>
  </si>
  <si>
    <t>Brick</t>
  </si>
  <si>
    <t>Mortar</t>
  </si>
  <si>
    <t>Railings</t>
  </si>
  <si>
    <t>Pre-Ceiling Close-up</t>
  </si>
  <si>
    <t>Pre-Wall Close-up</t>
  </si>
  <si>
    <t>Pre Concrete Pour</t>
  </si>
  <si>
    <t>Inspection Sample Size Chart with Guidance</t>
  </si>
  <si>
    <t>How to Use This Inspection Sample Size Chart This chart provides guidance on how many units (or how much area/length) to inspect when full inspection isn’t practical.</t>
  </si>
  <si>
    <t>Step 1: Determine Quantity Type - Count, SF, or LF based on the scope.</t>
  </si>
  <si>
    <t>Step 2: Find the Range - Match your total installed quantity with the closest range.</t>
  </si>
  <si>
    <t>Step 3: Apply the Sample Size - Use recommended units or percentages spread across locations.</t>
  </si>
  <si>
    <t>Step 4: Scale Up if Issues Found - Double sample or inspect 100% if defects found.</t>
  </si>
  <si>
    <t>Note on Standards</t>
  </si>
  <si>
    <t>This chart aligns with the principles of ANSI/ASQ Z1.4 and ISO 2859-1 but is simplified for construction QA/QC use.</t>
  </si>
  <si>
    <t>Quantity Type</t>
  </si>
  <si>
    <t>Quantity Range</t>
  </si>
  <si>
    <t>Square Footage Equivalent</t>
  </si>
  <si>
    <t>Recommended Sample Size</t>
  </si>
  <si>
    <t>Typical Use Case</t>
  </si>
  <si>
    <t>Count</t>
  </si>
  <si>
    <t>1–8 items</t>
  </si>
  <si>
    <t>N/A</t>
  </si>
  <si>
    <t>100% (all)</t>
  </si>
  <si>
    <t>Fixtures, doors, fire extinguishers</t>
  </si>
  <si>
    <t>9–25 items</t>
  </si>
  <si>
    <t>5</t>
  </si>
  <si>
    <t>Appliances, windows, casework units</t>
  </si>
  <si>
    <t>26–50 items</t>
  </si>
  <si>
    <t>8</t>
  </si>
  <si>
    <t>Electrical devices, hardware</t>
  </si>
  <si>
    <t>51–90 items</t>
  </si>
  <si>
    <t>13</t>
  </si>
  <si>
    <t>Backing, anchors, devices</t>
  </si>
  <si>
    <t>91–150 items</t>
  </si>
  <si>
    <t>20</t>
  </si>
  <si>
    <t>Light fixtures, support hangers</t>
  </si>
  <si>
    <t>151–280 items</t>
  </si>
  <si>
    <t>32</t>
  </si>
  <si>
    <t>Fasteners, brackets</t>
  </si>
  <si>
    <t>281–500 items</t>
  </si>
  <si>
    <t>50</t>
  </si>
  <si>
    <t>Small MEP accessories</t>
  </si>
  <si>
    <t>Square Footage</t>
  </si>
  <si>
    <t>0–200 SF</t>
  </si>
  <si>
    <t>100%</t>
  </si>
  <si>
    <t>Patching, small rooms</t>
  </si>
  <si>
    <t>201–500 SF</t>
  </si>
  <si>
    <t>10–20% or 1 sample / 50 SF</t>
  </si>
  <si>
    <t>Waterproofing, flooring mockups</t>
  </si>
  <si>
    <t>501–1,000 SF</t>
  </si>
  <si>
    <t>10% or 1 sample / 75 SF</t>
  </si>
  <si>
    <t>Tiling, GWB, concrete flatwork</t>
  </si>
  <si>
    <t>1,001–5,000 SF</t>
  </si>
  <si>
    <t>5–10%</t>
  </si>
  <si>
    <t>Traffic coatings, roofing membrane</t>
  </si>
  <si>
    <t>5,001–20,000 SF</t>
  </si>
  <si>
    <t>2–5%</t>
  </si>
  <si>
    <t>Vapor barrier, slab surface inspection</t>
  </si>
  <si>
    <t>Linear Footage</t>
  </si>
  <si>
    <t>0–100 LF</t>
  </si>
  <si>
    <t>Trim, cove bases, waterproofing at base</t>
  </si>
  <si>
    <t>101–250 LF</t>
  </si>
  <si>
    <t>10% or 1 sample per 20 LF</t>
  </si>
  <si>
    <t>Pipe insulation, railings</t>
  </si>
  <si>
    <t>251–1,000 LF</t>
  </si>
  <si>
    <t>Framing, caulking, edge protection</t>
  </si>
  <si>
    <t>1,001–5,000 LF</t>
  </si>
  <si>
    <t>3–5%</t>
  </si>
  <si>
    <t>MEP runs, control joints</t>
  </si>
  <si>
    <t>5,001+ LF</t>
  </si>
  <si>
    <t>2–3%</t>
  </si>
  <si>
    <t>Exterior caulking, firestopping</t>
  </si>
  <si>
    <t>Expectation</t>
  </si>
  <si>
    <t>Inspect first shipment of materials for type, spec compliance, and damage</t>
  </si>
  <si>
    <t>Materials match approved submittals before use</t>
  </si>
  <si>
    <t>Superintendent + Subcontractor</t>
  </si>
  <si>
    <t>Procore &gt; Inspections</t>
  </si>
  <si>
    <t>Material Handover</t>
  </si>
  <si>
    <t>Documenting Affect purchased materials to installer. Ex. Door hardware, bathroom accessories, Kitchen cabinets.</t>
  </si>
  <si>
    <t>Log trade partner acceptance/rejection of materials. Scan in signed ticked with Affect countersign.</t>
  </si>
  <si>
    <t>Procore Documents Tool</t>
  </si>
  <si>
    <t>Procore Documents Tool / Sharepoint</t>
  </si>
  <si>
    <t>First installation of any repeated system (e.g. walls, ceilings, facade, MEP)</t>
  </si>
  <si>
    <t>Reviewed by Q-Team to establish project quality standard</t>
  </si>
  <si>
    <t>Q-Team incl. Architect/Owner</t>
  </si>
  <si>
    <t>Procore &gt; Benchmarks / PDF binder</t>
  </si>
  <si>
    <t>Construct mock-ups for key finishes or assemblies (tile, millwork, facade)</t>
  </si>
  <si>
    <t>Review for workmanship and aesthetic prior to repeated work</t>
  </si>
  <si>
    <t>Architect / Client Rep</t>
  </si>
  <si>
    <t>Issued immediately, tracked to closure</t>
  </si>
  <si>
    <t>Procore &gt; Observations</t>
  </si>
  <si>
    <t>Used as reference for quality and installation checks</t>
  </si>
  <si>
    <t>Deficiency list generated in detail and issued per trade</t>
  </si>
  <si>
    <t>PM / Architect / Client</t>
  </si>
  <si>
    <t>Procore &gt; Punchlists</t>
  </si>
  <si>
    <t>Ensure compliance, identify areas of risk or inaction</t>
  </si>
  <si>
    <t>SAUNALOUNGE — OBSERVATION / NON-CONFORMANCE REPORT (NCR) LOG</t>
  </si>
  <si>
    <t>ALL QUALITY ISSUES LIVE IN PROCORE. Seven-step process: Identify (same day) → Issue (24 hrs) → Tag (same day) → Root Cause (48 hrs) → Corrective Action (48 hrs) → Verification → Closure. A missed First Work Review, a rejected material left on site, or work past a Hold Point without sign-off are all NCR events. NCR items must be closed before the next progress billing is approved. (Playbook A7 / CMP §8.7)</t>
  </si>
  <si>
    <t>Total Raised</t>
  </si>
  <si>
    <t>Closed</t>
  </si>
  <si>
    <t>Overdue</t>
  </si>
  <si>
    <t>Avg Days to Close</t>
  </si>
  <si>
    <t>NCR #</t>
  </si>
  <si>
    <t>Date Raised</t>
  </si>
  <si>
    <t>Raised By</t>
  </si>
  <si>
    <t>Trade / Subcontractor</t>
  </si>
  <si>
    <t>Description of Non-Conformance</t>
  </si>
  <si>
    <t>Spec / Submittal Ref</t>
  </si>
  <si>
    <t>Photos in Procore</t>
  </si>
  <si>
    <t>Physically Tagged</t>
  </si>
  <si>
    <t>Root Cause Received</t>
  </si>
  <si>
    <t>Contributing Cause Category</t>
  </si>
  <si>
    <t>Corrective Action Plan</t>
  </si>
  <si>
    <t>Resolution</t>
  </si>
  <si>
    <t>Target Close Date</t>
  </si>
  <si>
    <t>Days Open</t>
  </si>
  <si>
    <t>SAUNALOUNGE — PUNCH LIST &amp; ROLLING COMPLETION LIST (RCL)</t>
  </si>
  <si>
    <t>Punch is NOT Quality Control — punch confirms readiness. ZERO PUNCH is the objective. Four-phase process: A Trade Self-Punch (mandatory gate) → B Affect Build Review → C Owner / A/E Walk (SC gate) → D Back Punch (final close). Response within 2 working days; standard correction within 5 working days; life-safety / occupancy-impacting items within 48 hours. No retainage release for any trade until their punch items are fully closed and Superintendent-verified. (Playbook A9 / D-K)</t>
  </si>
  <si>
    <t>Life Safety Items Open</t>
  </si>
  <si>
    <t>Aged &gt; 7 Days</t>
  </si>
  <si>
    <t>% Closed</t>
  </si>
  <si>
    <t>Item #</t>
  </si>
  <si>
    <t>Phase</t>
  </si>
  <si>
    <t>Area / Room</t>
  </si>
  <si>
    <t>Description</t>
  </si>
  <si>
    <t>Classification</t>
  </si>
  <si>
    <t>Life Safety / Occupancy Impact</t>
  </si>
  <si>
    <t>Assigned To</t>
  </si>
  <si>
    <t>Response Due</t>
  </si>
  <si>
    <t>Target Correction</t>
  </si>
  <si>
    <t>Date Corrected</t>
  </si>
  <si>
    <t>SAUNALOUNGE — QUALITY CONTROL CHECKLIST:  EXCAVATION</t>
  </si>
  <si>
    <t>PROJECT</t>
  </si>
  <si>
    <t>JOB NUMBER</t>
  </si>
  <si>
    <t>DOB JOB NUMBER</t>
  </si>
  <si>
    <t>CSI CODE</t>
  </si>
  <si>
    <t>DFOW REF</t>
  </si>
  <si>
    <t>DFOW RISK TIER</t>
  </si>
  <si>
    <t>Tier 3</t>
  </si>
  <si>
    <t>LOCATION / ZONE</t>
  </si>
  <si>
    <t>SUBCONTRACTOR</t>
  </si>
  <si>
    <t>FOREMAN</t>
  </si>
  <si>
    <t>PHASE OF CONTROL</t>
  </si>
  <si>
    <t>INSPECTED BY</t>
  </si>
  <si>
    <t>INSPECTION DATE</t>
  </si>
  <si>
    <t>CHECKLIST STATUS</t>
  </si>
  <si>
    <t>Items</t>
  </si>
  <si>
    <t>Checklist Item</t>
  </si>
  <si>
    <t>Req'd</t>
  </si>
  <si>
    <t>Rec'd</t>
  </si>
  <si>
    <t>Prepped</t>
  </si>
  <si>
    <t>Installed</t>
  </si>
  <si>
    <t>Inspected By</t>
  </si>
  <si>
    <t>Photo Ref</t>
  </si>
  <si>
    <t>Comments / Corrective Action</t>
  </si>
  <si>
    <t>Soil information report is on job and reviewed</t>
  </si>
  <si>
    <t>Note elevation of water table</t>
  </si>
  <si>
    <t>Monuments and stakes are located</t>
  </si>
  <si>
    <t>Utilities to remain are located, staked and protected</t>
  </si>
  <si>
    <t>Verify utility companies have been notified</t>
  </si>
  <si>
    <t>Shoring and underpinning is provided if required</t>
  </si>
  <si>
    <t>Spillage of soil on streets removed for public safety</t>
  </si>
  <si>
    <t>Provide public safety: fences, barricades, etc.</t>
  </si>
  <si>
    <t>Excavating does not cause unusual rutting</t>
  </si>
  <si>
    <t>Drainage is provided continuously</t>
  </si>
  <si>
    <t>Are well points required?</t>
  </si>
  <si>
    <t>Drainage ditches are maintained</t>
  </si>
  <si>
    <t>Testing, inspection and compaction as required</t>
  </si>
  <si>
    <t>Compaction is performed in lifts required</t>
  </si>
  <si>
    <t>Building layout established</t>
  </si>
  <si>
    <t>Elevations are established</t>
  </si>
  <si>
    <t>Observe setbacks and batter boards</t>
  </si>
  <si>
    <t>Footing drains installed as specified</t>
  </si>
  <si>
    <t>Waterproofing protected during backfilling</t>
  </si>
  <si>
    <t>Q-TEAM SIGN-OFF  —  All Fail items must be closed via the NCR Log before this checklist is signed. File in Procore.</t>
  </si>
  <si>
    <t>Superintendent (Affect Build)</t>
  </si>
  <si>
    <t>Trade Foreman</t>
  </si>
  <si>
    <t>Architect / Owner's Rep</t>
  </si>
  <si>
    <t>SAUNALOUNGE — QUALITY CONTROL CHECKLIST:  CONCRETE FORMWORK</t>
  </si>
  <si>
    <t>03 10 00</t>
  </si>
  <si>
    <t>Location, dimension and grades as required</t>
  </si>
  <si>
    <t>Re-used formwork reconditioned and treated</t>
  </si>
  <si>
    <t>Formwork treatment compatible with other materials</t>
  </si>
  <si>
    <t>Provide mortar-tight condition, free from offsets</t>
  </si>
  <si>
    <t>Formwork provides structural sections</t>
  </si>
  <si>
    <t>End forms deepened as required for pipes, conduits, etc.</t>
  </si>
  <si>
    <t>Forms provide for depressed slab, cut-outs, curbs</t>
  </si>
  <si>
    <t>Sleeves for piping and conduits are as required</t>
  </si>
  <si>
    <t>Provisions made for anchors, hangers and bucks</t>
  </si>
  <si>
    <t>Verify number and location of cleanouts and ports</t>
  </si>
  <si>
    <t>Cleanouts provided at ends and low points of forms</t>
  </si>
  <si>
    <t>Ports are provided in high forms</t>
  </si>
  <si>
    <t>Forms in alignment, especially at top of walls</t>
  </si>
  <si>
    <t>Keys are provided in construction joints</t>
  </si>
  <si>
    <t>Forms provide for door and window openings</t>
  </si>
  <si>
    <t>Provide cross bracing in formed openings</t>
  </si>
  <si>
    <t>Observe types of form spacers, ties and bracing</t>
  </si>
  <si>
    <t>Check spacing of ties to be set to a pattern</t>
  </si>
  <si>
    <t>Check alignment of chamfer and nail strips and chases</t>
  </si>
  <si>
    <t>Observe elevation and anchoring of trench ducts</t>
  </si>
  <si>
    <t>Provisions made during pour for sawed joints</t>
  </si>
  <si>
    <t>Expansion, construction and contraction joints as required</t>
  </si>
  <si>
    <t>Filler securely fastened in expansion joints</t>
  </si>
  <si>
    <t>Forms secured against movement during placing</t>
  </si>
  <si>
    <t>Verify removal of temporary spreaders</t>
  </si>
  <si>
    <t>SAUNALOUNGE — QUALITY CONTROL CHECKLIST:  CONC REINFORCEMENT</t>
  </si>
  <si>
    <t>Grade of steel delivered as required</t>
  </si>
  <si>
    <t>Spacing coordinated to suit masonry units</t>
  </si>
  <si>
    <t>Required clearance of steel from forms provided</t>
  </si>
  <si>
    <t>Length of splices and staggering of splices as required</t>
  </si>
  <si>
    <t>Bends within radii and tolerance are uniformly made</t>
  </si>
  <si>
    <t>Additional bars at intersections, openings and corners</t>
  </si>
  <si>
    <t>Bars cleaned of material that might reduce bond</t>
  </si>
  <si>
    <t>Dowels for marginal bars at wall ends and openings</t>
  </si>
  <si>
    <t>Beam bars spliced near supports for bottom steel</t>
  </si>
  <si>
    <t>Splice near midspan for top steel</t>
  </si>
  <si>
    <t>No bent bars and tension members installed</t>
  </si>
  <si>
    <t>Vertical bars at wall ends set inside horizontal bars</t>
  </si>
  <si>
    <t>Extra turns at top and bottom of spiral columns</t>
  </si>
  <si>
    <t>Bars tied and supported to prevent displacement</t>
  </si>
  <si>
    <t>Spacers, tie wires and chairs as required</t>
  </si>
  <si>
    <t>Conduits are separated 3 conduit diameters minimum</t>
  </si>
  <si>
    <t>No conduit or pipe placed below rebar material</t>
  </si>
  <si>
    <t>No liquid-carrying pipes are embedded</t>
  </si>
  <si>
    <t>No contact of bars is made with dissimilar metals</t>
  </si>
  <si>
    <t>Bars not near surfaces that allow rusting</t>
  </si>
  <si>
    <t>Rebars are welded only with approval</t>
  </si>
  <si>
    <t>Adequate clearance provided for deposit of concrete</t>
  </si>
  <si>
    <t>Review drawings for anchors, piping, sleeves, boxes</t>
  </si>
  <si>
    <t>Resolve conflicts between embedded items and reinforcement</t>
  </si>
  <si>
    <t>Special coating as required</t>
  </si>
  <si>
    <t>Cantilever reinforcement — proper placement</t>
  </si>
  <si>
    <t>SAUNALOUNGE — QUALITY CONTROL CHECKLIST:  CIP CONCRETE</t>
  </si>
  <si>
    <t>Approval of forms and rebar prior to pour</t>
  </si>
  <si>
    <t>Requirements for tests, mix design, ingredients confirmed</t>
  </si>
  <si>
    <t>Test lab notified prior to pour</t>
  </si>
  <si>
    <t>Testing is arranged at plant and site</t>
  </si>
  <si>
    <t>Foundations are free of frost and water</t>
  </si>
  <si>
    <t>Previously placed concrete properly prepared for new</t>
  </si>
  <si>
    <t>Vibrators and stand-by vibrators are available</t>
  </si>
  <si>
    <t>Temporary form openings, tremies and chutes provided</t>
  </si>
  <si>
    <t>Pockets are vented to prevent air entrapment</t>
  </si>
  <si>
    <t>Sub-base and capillary fills compacted</t>
  </si>
  <si>
    <t>Arrange for specified curing and sawed joints</t>
  </si>
  <si>
    <t>Arrange for cold weather protection if needed</t>
  </si>
  <si>
    <t>Cylinders, measuring equipment and slump cone at site</t>
  </si>
  <si>
    <t>Modified grout provided for rebar congestion</t>
  </si>
  <si>
    <t>Layers are kept horizontal in required lifts</t>
  </si>
  <si>
    <t>Placement rate maintained to avoid cold joints</t>
  </si>
  <si>
    <t>Bolts and loose items properly located and installed</t>
  </si>
  <si>
    <t>Date and location of pours is recorded</t>
  </si>
  <si>
    <t>Elevations, alignment and supports checked during pour</t>
  </si>
  <si>
    <t>Time for concrete to settle before placing concrete above</t>
  </si>
  <si>
    <t>Obtain approval concerning watering at site</t>
  </si>
  <si>
    <t>Cylinders are cast and stored properly</t>
  </si>
  <si>
    <t>Verify finishes: smooth, exposed aggregate, colored</t>
  </si>
  <si>
    <t>Screeds are provided as required</t>
  </si>
  <si>
    <t>No troweling while bleed water is on surface</t>
  </si>
  <si>
    <t>Curing compounds compatible with finishes</t>
  </si>
  <si>
    <t>Finishing method provides tolerance indicated</t>
  </si>
  <si>
    <t>Slopes are provided to properly drain</t>
  </si>
  <si>
    <t>SAUNALOUNGE — QUALITY CONTROL CHECKLIST:  PRECAST CONCRETE</t>
  </si>
  <si>
    <t>03 40 00</t>
  </si>
  <si>
    <t>Not in current scope — retained for scope changes</t>
  </si>
  <si>
    <t>Required samples for finish, anchors, reinforcement</t>
  </si>
  <si>
    <t>Test procedure established for fabricator</t>
  </si>
  <si>
    <t>Special items and conditions understood</t>
  </si>
  <si>
    <t>Mock-up provided and approved</t>
  </si>
  <si>
    <t>Structural support items located and installed</t>
  </si>
  <si>
    <t>Check anchors and fasteners for type of metal and size</t>
  </si>
  <si>
    <t>Material protected by shields during welding</t>
  </si>
  <si>
    <t>Joint and panel alignment within tolerance</t>
  </si>
  <si>
    <t>Back-up caulk, cement and materials are non-staining</t>
  </si>
  <si>
    <t>Joint caulking and sealing as required</t>
  </si>
  <si>
    <t>Flexible gaskets for joints are properly sealed</t>
  </si>
  <si>
    <t>Caulking checked for type, color and method</t>
  </si>
  <si>
    <t>Coping bolts and dowel holes are grouted</t>
  </si>
  <si>
    <t>Observe location of expansion or control joints</t>
  </si>
  <si>
    <t>Built-in flashing formed and located</t>
  </si>
  <si>
    <t>Weep holes are provided</t>
  </si>
  <si>
    <t>Remove lead buttons or wood wedges</t>
  </si>
  <si>
    <t>Check water-repellent materials and methods</t>
  </si>
  <si>
    <t>Protection provided for projecting sills and work</t>
  </si>
  <si>
    <t>Cleaning proceeds from top downward</t>
  </si>
  <si>
    <t>Protection provided during cleaning</t>
  </si>
  <si>
    <t>SAUNALOUNGE — QUALITY CONTROL CHECKLIST:  UNIT MASONRY</t>
  </si>
  <si>
    <t>04 20 00</t>
  </si>
  <si>
    <t>Tier 2</t>
  </si>
  <si>
    <t>Zone A — glass block / CMU</t>
  </si>
  <si>
    <t>Approved shop drawings are on site</t>
  </si>
  <si>
    <t>Approved samples are on site or evidenced</t>
  </si>
  <si>
    <t>Mortar mix and ingredients approved</t>
  </si>
  <si>
    <t>Sample panels provided and approved</t>
  </si>
  <si>
    <t>Materials stored off ground and covered</t>
  </si>
  <si>
    <t>Concrete masonry units are not wet</t>
  </si>
  <si>
    <t>Reinforcement: type, size, splicing and spacing</t>
  </si>
  <si>
    <t>Do not allow excessive bending of rebar</t>
  </si>
  <si>
    <t>Pipes, sleeves and boxes located</t>
  </si>
  <si>
    <t>No shovel measures for job-mixed grout</t>
  </si>
  <si>
    <t>Climatic and temperature conditions are suitable</t>
  </si>
  <si>
    <t>Adequate lighting provided for good workmanship</t>
  </si>
  <si>
    <t>Story pole is used for coursing</t>
  </si>
  <si>
    <t>Joint size, type and tooling method as required</t>
  </si>
  <si>
    <t>Bonding is as required</t>
  </si>
  <si>
    <t>Observe full head and bed joints</t>
  </si>
  <si>
    <t>Joints tooled to provide dense surface</t>
  </si>
  <si>
    <t>Wythes or cavities kept free of excess droppings</t>
  </si>
  <si>
    <t>Check anchors and ties for material, size and set</t>
  </si>
  <si>
    <t>Bucks and anchors secured, plumb and level</t>
  </si>
  <si>
    <t>Provisions for flashings, cut-outs and later items</t>
  </si>
  <si>
    <t>Provisions for parging if required</t>
  </si>
  <si>
    <t>Expansion and control joints are located</t>
  </si>
  <si>
    <t>Weeps are provided if required</t>
  </si>
  <si>
    <t>Structural members have suitable attachments</t>
  </si>
  <si>
    <t>Debris is removed periodically, not piled</t>
  </si>
  <si>
    <t>Protect work from freezing at least 48 hours</t>
  </si>
  <si>
    <t>Clean off splatters from finish surfaces</t>
  </si>
  <si>
    <t>Observe bond beam filling</t>
  </si>
  <si>
    <t>Hollow metal frames are filled solid</t>
  </si>
  <si>
    <t>Backfilling after proper curing and support</t>
  </si>
  <si>
    <t>SAUNALOUNGE — QUALITY CONTROL CHECKLIST:  METAL DECK</t>
  </si>
  <si>
    <t>05 31 00</t>
  </si>
  <si>
    <t>Material approved type, shapes, gauge and size</t>
  </si>
  <si>
    <t>Approved samples are on job if required</t>
  </si>
  <si>
    <t>Review approved decking layout submissions</t>
  </si>
  <si>
    <t>Material is properly stored on site and protected</t>
  </si>
  <si>
    <t>All accessory items are furnished and approved type</t>
  </si>
  <si>
    <t>Welding inspection by testing laboratory if required</t>
  </si>
  <si>
    <t>Welders are certified if required</t>
  </si>
  <si>
    <t>Sequence of fastening is performed</t>
  </si>
  <si>
    <t>Closures at edges are provided as required</t>
  </si>
  <si>
    <t>Decking in contact with beams; proper tack welds</t>
  </si>
  <si>
    <t>Observe tabs and hangers for equipment and ceilings</t>
  </si>
  <si>
    <t>Coordination with sheet metal, roofing, insulation, electrical</t>
  </si>
  <si>
    <t>Decking is continuous over supports if required</t>
  </si>
  <si>
    <t>Welded connections and spacings are as required</t>
  </si>
  <si>
    <t>Observe panel-to-panel seams for tack weld</t>
  </si>
  <si>
    <t>Check seam welding for burn-outs</t>
  </si>
  <si>
    <t>Reinforcement at columns and penetrations as required</t>
  </si>
  <si>
    <t>Reinforcement at major concentrated loads as required</t>
  </si>
  <si>
    <t>Type, spacing and alignment of seam connections as required</t>
  </si>
  <si>
    <t>Electric cell units are aligned</t>
  </si>
  <si>
    <t>No rough edges to damage wire pulled through cells</t>
  </si>
  <si>
    <t>Butt ends taped to keep concrete fill out</t>
  </si>
  <si>
    <t>No concentrated loads on decks during construction</t>
  </si>
  <si>
    <t>Verify if shoring is required for concrete topping</t>
  </si>
  <si>
    <t>Deck is free of loose dirt and debris before topping</t>
  </si>
  <si>
    <t>On roof decking, deslag welds and paint with zinc</t>
  </si>
  <si>
    <t>Verify if UL labels are required</t>
  </si>
  <si>
    <t>Roof ventilation provisions are met</t>
  </si>
  <si>
    <t>Touch up exposed and cut galvanized metal</t>
  </si>
  <si>
    <t>Record all damaged panels</t>
  </si>
  <si>
    <t>SAUNALOUNGE — QUALITY CONTROL CHECKLIST:  SLAB ON GRADE</t>
  </si>
  <si>
    <t>Pool equipment room / BOH</t>
  </si>
  <si>
    <t>Mix design approved</t>
  </si>
  <si>
    <t>Curing compounds (if any) compatible with finishes</t>
  </si>
  <si>
    <t>Finishing method provides for tolerances specified</t>
  </si>
  <si>
    <t>Forms and reinforcement approved prior to placement</t>
  </si>
  <si>
    <t>Underground / under-slab utilities in place</t>
  </si>
  <si>
    <t>Elevations, alignment and support checked during pour</t>
  </si>
  <si>
    <t>Sub-grade fine graded and compacted</t>
  </si>
  <si>
    <t>Required box-outs, openings and haunches in place</t>
  </si>
  <si>
    <t>Properly sloped to drains</t>
  </si>
  <si>
    <t>Testing arranged and testing agency notified</t>
  </si>
  <si>
    <t>Obtain water at site</t>
  </si>
  <si>
    <t>Mesh size and gauge as required; flat sheets; proper lap</t>
  </si>
  <si>
    <t>Area of placement free of frost and water</t>
  </si>
  <si>
    <t>Verify finishes</t>
  </si>
  <si>
    <t>Date and location of pour(s) recorded</t>
  </si>
  <si>
    <t>Wet spray or moist curing adequately performed</t>
  </si>
  <si>
    <t>SAUNALOUNGE — QUALITY CONTROL CHECKLIST:  SLAB ON DECK</t>
  </si>
  <si>
    <t>Pour stops and reinforcement approved prior to placement</t>
  </si>
  <si>
    <t>Decking, studs and flashing complete</t>
  </si>
  <si>
    <t>Under-slab utilities in place</t>
  </si>
  <si>
    <t>Decks blown off</t>
  </si>
  <si>
    <t>Curing compound applied</t>
  </si>
  <si>
    <t>SAUNALOUNGE — QUALITY CONTROL CHECKLIST:  WATERPROOFING</t>
  </si>
  <si>
    <t>Tier 4</t>
  </si>
  <si>
    <t>Zones A &amp; B — all wet areas, pool interface</t>
  </si>
  <si>
    <t>Approved submittal, product data and warranty terms on site</t>
  </si>
  <si>
    <t>Manufacturer's certified applicator confirmed and documented</t>
  </si>
  <si>
    <t>Substrate clean, dry, sound and within moisture tolerance</t>
  </si>
  <si>
    <t>Moisture testing of substrate performed and recorded</t>
  </si>
  <si>
    <t>Ambient and substrate temperature within manufacturer's limits</t>
  </si>
  <si>
    <t>Cracks, honeycomb and voids repaired prior to application</t>
  </si>
  <si>
    <t>Cove and fillet detailing at all floor-to-wall transitions</t>
  </si>
  <si>
    <t>Corners, changes of plane and control joints reinforced</t>
  </si>
  <si>
    <t>Primer applied at specified rate and cure time observed</t>
  </si>
  <si>
    <t>Membrane thickness / wet mil thickness verified and logged</t>
  </si>
  <si>
    <t>Reinforcing fabric embedded at all detail locations</t>
  </si>
  <si>
    <t>All penetrations (drains, sleeves, anchors) sealed and detailed</t>
  </si>
  <si>
    <t>Floor drain clamping ring correctly set and sealed</t>
  </si>
  <si>
    <t>Curb, threshold and door transition detailing complete</t>
  </si>
  <si>
    <t>Sauna, cold plunge and pool interface terminations continuous</t>
  </si>
  <si>
    <t>Interface with Owner's Separate Trades assemblies witnessed jointly</t>
  </si>
  <si>
    <t>Vertical membrane turn-up height per detail verified</t>
  </si>
  <si>
    <t>Overlaps and seams at required minimum lap width</t>
  </si>
  <si>
    <t>Flood test performed: minimum 24 hrs at 2 in. head</t>
  </si>
  <si>
    <t>Flood test results recorded with photographs and signed off</t>
  </si>
  <si>
    <t>No loss of head and no evidence of leakage below</t>
  </si>
  <si>
    <t>Repairs after failed flood test re-tested and re-signed</t>
  </si>
  <si>
    <t>Protection board / screed installed without membrane damage</t>
  </si>
  <si>
    <t>Membrane protected from following trades until covered</t>
  </si>
  <si>
    <t>Pre-cover HOLD POINT signed off before tile or topping</t>
  </si>
  <si>
    <t>Special inspection report received and uploaded to Procore</t>
  </si>
  <si>
    <t>Warranty documentation issued and filed for closeout</t>
  </si>
  <si>
    <t>SAUNALOUNGE — QUALITY CONTROL CHECKLIST:  DRYWALL FRAMING</t>
  </si>
  <si>
    <t>Material is stored in dry location</t>
  </si>
  <si>
    <t>Material does not overload floor system</t>
  </si>
  <si>
    <t>Materials galvanized where exposed to damp conditions</t>
  </si>
  <si>
    <t>Studs are doubled up at jambs</t>
  </si>
  <si>
    <t>Reinforced and heavy gauge studs as required</t>
  </si>
  <si>
    <t>Studs allow for movement: shrinkage, slab deflection</t>
  </si>
  <si>
    <t>Studs securely anchored to walls and columns</t>
  </si>
  <si>
    <t>Studs securely anchored to floor plates</t>
  </si>
  <si>
    <t>Soundproofing provided at floors and walls as required</t>
  </si>
  <si>
    <t>Locations, layout and plumbness are verified</t>
  </si>
  <si>
    <t>Channel stiffeners are provided as required</t>
  </si>
  <si>
    <t>Special fastening and connection accuracy observed</t>
  </si>
  <si>
    <t>Anchor blocking, plates and other equipment provided</t>
  </si>
  <si>
    <t>Cut studs for openings are properly framed</t>
  </si>
  <si>
    <t>Observe size and gauge of runner and furring channels</t>
  </si>
  <si>
    <t>Hangers are saddle-tied, bolted or clipped as required</t>
  </si>
  <si>
    <t>Tie wire for channels to runners properly tied</t>
  </si>
  <si>
    <t>Elevation and layout of furring is understood</t>
  </si>
  <si>
    <t>Provide a true plane surface, plumb or level</t>
  </si>
  <si>
    <t>Provide long single lengths</t>
  </si>
  <si>
    <t>Control joint installation method is understood</t>
  </si>
  <si>
    <t>Provide for adjoining surfaces of different materials</t>
  </si>
  <si>
    <t>Sealing provided for sound or thermal isolation</t>
  </si>
  <si>
    <t>Wood studs are in alignment</t>
  </si>
  <si>
    <t>Out-of-line wood members are corrected</t>
  </si>
  <si>
    <t>Spacing and construction are as specified if wood</t>
  </si>
  <si>
    <t>Blocking, bracing and nailers to attach wallboard</t>
  </si>
  <si>
    <t>Wood is dry to avoid nail pops due to shrinkage</t>
  </si>
  <si>
    <t>SAUNALOUNGE — QUALITY CONTROL CHECKLIST:  DRYWALL BOARD</t>
  </si>
  <si>
    <t>Type, thickness, length and edges are as required</t>
  </si>
  <si>
    <t>Type of fastener, length and spacing as required</t>
  </si>
  <si>
    <t>Installation complies with manufacturer's requirements</t>
  </si>
  <si>
    <t>Special type used for damp locations if required</t>
  </si>
  <si>
    <t>Special lengths are provided if required</t>
  </si>
  <si>
    <t>Verify if horizontal or critical application is required</t>
  </si>
  <si>
    <t>Wallboard is installed with staggered application</t>
  </si>
  <si>
    <t>Internal and external metal corners as required</t>
  </si>
  <si>
    <t>Number of coatings required is provided</t>
  </si>
  <si>
    <t>Sanding between coats is performed</t>
  </si>
  <si>
    <t>Feathering is out 12 in. to 16 in.</t>
  </si>
  <si>
    <t>Provide air circulation with adequate dry heat</t>
  </si>
  <si>
    <t>Fire-rated: recesses over 16 in. boxed in</t>
  </si>
  <si>
    <t>Penetrations tight and sealed as required by codes</t>
  </si>
  <si>
    <t>Cut-outs and outlet boxes correct to avoid patching</t>
  </si>
  <si>
    <t>Require sawing; no scoring or knock-outs</t>
  </si>
  <si>
    <t>Wallboard is held up from floor 3/8 in. minimum</t>
  </si>
  <si>
    <t>Vertical joints are aligned with door jambs</t>
  </si>
  <si>
    <t>Damaged sheets are not used and are removed</t>
  </si>
  <si>
    <t>Observe minimum piecing or jointing</t>
  </si>
  <si>
    <t>Nailing from center out; paper surfaces not broken</t>
  </si>
  <si>
    <t>Non-metallic cable, plastic or copper is not damaged</t>
  </si>
  <si>
    <t>Check for bubbles and dimples</t>
  </si>
  <si>
    <t>Curing time is adequate</t>
  </si>
  <si>
    <t>Clean-up at intervals is performed</t>
  </si>
  <si>
    <t>Excessive debris does not accumulate</t>
  </si>
  <si>
    <t>Prevent tracking to other areas</t>
  </si>
  <si>
    <t>Refer to US Gypsum Handbook for good practices</t>
  </si>
  <si>
    <t>SAUNALOUNGE — QUALITY CONTROL CHECKLIST:  FIRESTOPPING</t>
  </si>
  <si>
    <t>Whole premises — all rated penetrations</t>
  </si>
  <si>
    <t>Approved UL listed systems schedule on site for all conditions</t>
  </si>
  <si>
    <t>Correct UL system selected for each penetration type</t>
  </si>
  <si>
    <t>Installer trained / certified per manufacturer requirements</t>
  </si>
  <si>
    <t>Annular space within listed system tolerances</t>
  </si>
  <si>
    <t>Penetrating item type and size matches listed system</t>
  </si>
  <si>
    <t>Backing / packing material correct type and compression</t>
  </si>
  <si>
    <t>Depth of sealant verified against listed system</t>
  </si>
  <si>
    <t>Sealant / mortar / wrap product within shelf life</t>
  </si>
  <si>
    <t>Substrate clean and free of dust, oil and moisture</t>
  </si>
  <si>
    <t>Sleeves installed and correctly sized where required</t>
  </si>
  <si>
    <t>Cast-in devices installed to correct depth and orientation</t>
  </si>
  <si>
    <t>Head-of-wall joints firestopped to correct detail</t>
  </si>
  <si>
    <t>Rated wall abandoned penetrations sealed</t>
  </si>
  <si>
    <t>Membrane penetrations (boxes) spaced and protected per code</t>
  </si>
  <si>
    <t>Fire dampers installed with correct sleeve and retaining angles</t>
  </si>
  <si>
    <t>Rated ceiling penetrations protected as required</t>
  </si>
  <si>
    <t>Labelling applied adjacent to each firestop location</t>
  </si>
  <si>
    <t>Photographic record captured before cover-up</t>
  </si>
  <si>
    <t>Mock-up of typical condition reviewed and approved</t>
  </si>
  <si>
    <t>Special inspection performed before cover-up (HOLD POINT)</t>
  </si>
  <si>
    <t>Deficiencies logged as NCR and re-inspected after correction</t>
  </si>
  <si>
    <t>Firestop log maintained and uploaded to Procore</t>
  </si>
  <si>
    <t>SAUNALOUNGE — QUALITY CONTROL CHECKLIST:  METAL FRAMES</t>
  </si>
  <si>
    <t>08 11 13</t>
  </si>
  <si>
    <t>Fabrication and construction of frames as required</t>
  </si>
  <si>
    <t>Smooth joints welded if required</t>
  </si>
  <si>
    <t>Gauge, size, straightness and features as required</t>
  </si>
  <si>
    <t>Frames are pre-braced if required</t>
  </si>
  <si>
    <t>Extra reinforcement at head, corners and hardware</t>
  </si>
  <si>
    <t>Adequate provisions made to receive hardware</t>
  </si>
  <si>
    <t>Proper type and number of anchors are provided</t>
  </si>
  <si>
    <t>Verify adequate anchorage made during installation</t>
  </si>
  <si>
    <t>Sound deadening treatment is provided if required</t>
  </si>
  <si>
    <t>Fire-rated frames have labels and proper identification</t>
  </si>
  <si>
    <t>Light/sound-proof and lead-lined frames as required</t>
  </si>
  <si>
    <t>Provide features such as silencer holes if required</t>
  </si>
  <si>
    <t>Frame is grouted during installation if required</t>
  </si>
  <si>
    <t>Frame is caulked if required</t>
  </si>
  <si>
    <t>Frames are installed straight, level and plumb</t>
  </si>
  <si>
    <t>Frames adequately braced where built in</t>
  </si>
  <si>
    <t>Priming or factory finish is provided</t>
  </si>
  <si>
    <t>SAUNALOUNGE — QUALITY CONTROL CHECKLIST:  METAL DOORS</t>
  </si>
  <si>
    <t>Doors are as approved — size, type and design</t>
  </si>
  <si>
    <t>Check panel, lights, louvers and features</t>
  </si>
  <si>
    <t>Check defects: dents, buckles and warps</t>
  </si>
  <si>
    <t>Fabrication, construction and workmanship</t>
  </si>
  <si>
    <t>Smooth edges and joints, finish and straightness</t>
  </si>
  <si>
    <t>Additional reinforcement provided for hardware</t>
  </si>
  <si>
    <t>Observe backing plates during drilling operations</t>
  </si>
  <si>
    <t>Observe that closure channels are provided</t>
  </si>
  <si>
    <t>Provisions to receive hardware are adequate</t>
  </si>
  <si>
    <t>Observe type of factory-installed hardware</t>
  </si>
  <si>
    <t>Backset is matched to finish hardware</t>
  </si>
  <si>
    <t>Stile edges and astragals required for pairs of doors</t>
  </si>
  <si>
    <t>Fire-rated doors have labels and proper identification</t>
  </si>
  <si>
    <t>Wire glass is provided</t>
  </si>
  <si>
    <t>Fusible-link holders provided at louvers</t>
  </si>
  <si>
    <t>Observe installation and verify proper clearance</t>
  </si>
  <si>
    <t>Doors are hung straight, level and plumb</t>
  </si>
  <si>
    <t>Door functions smoothly and easily</t>
  </si>
  <si>
    <t>Hardware is properly adjusted</t>
  </si>
  <si>
    <t>Observe glazing operation</t>
  </si>
  <si>
    <t>Factory prime is retouched</t>
  </si>
  <si>
    <t>Surfaces are adequate to receive applied finish</t>
  </si>
  <si>
    <t>Report doors that cannot be properly cleaned</t>
  </si>
  <si>
    <t>Protection provided to avoid marring</t>
  </si>
  <si>
    <t>Bumper buttons installed</t>
  </si>
  <si>
    <t>SAUNALOUNGE — QUALITY CONTROL CHECKLIST:  DOORS &amp; HARDWARE</t>
  </si>
  <si>
    <t>08 71 00</t>
  </si>
  <si>
    <t>Approved door, frame and hardware schedule on site</t>
  </si>
  <si>
    <t>Hardware delivered, inventoried and stored securely</t>
  </si>
  <si>
    <t>Hardware matches approved schedule and keying plan</t>
  </si>
  <si>
    <t>Fire-rated assemblies carry correct labels (door, frame, hardware)</t>
  </si>
  <si>
    <t>Frame anchorage type and count per approved detail</t>
  </si>
  <si>
    <t>Frames set plumb, level and square within tolerance</t>
  </si>
  <si>
    <t>Rough openings sized correctly and blocking present</t>
  </si>
  <si>
    <t>Undercut and floor clearance per detail and code</t>
  </si>
  <si>
    <t>Hinge quantity and size correct for door weight</t>
  </si>
  <si>
    <t>Closers adjusted for opening force per ADA requirements</t>
  </si>
  <si>
    <t>Panic and exit devices operate freely and latch positively</t>
  </si>
  <si>
    <t>Door hold-open devices interfaced to fire alarm and tested</t>
  </si>
  <si>
    <t>Smoke and acoustic seals continuous and correctly installed</t>
  </si>
  <si>
    <t>Thresholds set in sealant and level</t>
  </si>
  <si>
    <t>Lever heights and operation compliant with ADA</t>
  </si>
  <si>
    <t>Wet-area doors and hardware corrosion-resistant per spec</t>
  </si>
  <si>
    <t>Glazing type, labels and setting blocks per spec</t>
  </si>
  <si>
    <t>Signage and room numbering coordinated</t>
  </si>
  <si>
    <t>Doors operate smoothly with no binding or dragging</t>
  </si>
  <si>
    <t>Finishes free from damage; touch-up complete</t>
  </si>
  <si>
    <t>Keying delivered, tested and turned over to Owner</t>
  </si>
  <si>
    <t>Hardware O&amp;M and warranty documentation submitted</t>
  </si>
  <si>
    <t>SAUNALOUNGE — QUALITY CONTROL CHECKLIST:  TILE &amp; STONE</t>
  </si>
  <si>
    <t>Zones A &amp; B — pool, lockers, showers, lounge, bar, kitchen</t>
  </si>
  <si>
    <t>Approved samples and mock-up signed off before production</t>
  </si>
  <si>
    <t>Tile / stone type, size, finish and lot verified against approval</t>
  </si>
  <si>
    <t>Material inspected for damage, warpage and shade variation</t>
  </si>
  <si>
    <t>Substrate flatness within specified tolerance for tile size</t>
  </si>
  <si>
    <t>Waterproofing membrane complete, flood tested and signed off</t>
  </si>
  <si>
    <t>Movement joints located per TCNA / EJ171 and detail</t>
  </si>
  <si>
    <t>Setting materials and grout per approved submittal</t>
  </si>
  <si>
    <t>Mortar coverage verified by periodic tile pull-up test</t>
  </si>
  <si>
    <t>Back-buttering performed where required for large format</t>
  </si>
  <si>
    <t>Layout established from control lines; dry layout reviewed</t>
  </si>
  <si>
    <t>Cuts sized to avoid slivers; symmetry maintained</t>
  </si>
  <si>
    <t>Slope to drains verified before and after setting</t>
  </si>
  <si>
    <t>Trim, edge profiles and transitions per detail</t>
  </si>
  <si>
    <t>Grout joint width consistent and per spec</t>
  </si>
  <si>
    <t>Grout colour and type correct; cured before cleaning</t>
  </si>
  <si>
    <t>Sealant (not grout) at all changes of plane</t>
  </si>
  <si>
    <t>Anti-slip / coefficient of friction requirement met in wet areas</t>
  </si>
  <si>
    <t>Coping, waterline band and bench nose tile by pool specialist — interface verified</t>
  </si>
  <si>
    <t>Lippage within specified tolerance</t>
  </si>
  <si>
    <t>Sounding of set tile for hollow spots performed</t>
  </si>
  <si>
    <t>Penetrations, escutcheons and fixtures neatly cut and sealed</t>
  </si>
  <si>
    <t>Surfaces protected from following trades</t>
  </si>
  <si>
    <t>Sealer / impregnator applied per manufacturer if specified</t>
  </si>
  <si>
    <t>Final clean complete with no residue or haze</t>
  </si>
  <si>
    <t>SAUNALOUNGE — QUALITY CONTROL CHECKLIST:  RESILIENT FLOORING</t>
  </si>
  <si>
    <t>BOH / Zone A</t>
  </si>
  <si>
    <t>Certificates and affidavits have been received</t>
  </si>
  <si>
    <t>Samples are on site, if required</t>
  </si>
  <si>
    <t>Type, pattern and color of material is as approved</t>
  </si>
  <si>
    <t>Primer, adhesive or cement is as required</t>
  </si>
  <si>
    <t>Base complies with approvals</t>
  </si>
  <si>
    <t>Containers labeled, sealed and unopened</t>
  </si>
  <si>
    <t>Boxes inspected for damage in transit</t>
  </si>
  <si>
    <t>Floor material is stored at proper temperature</t>
  </si>
  <si>
    <t>Pre-formed corners and end stops are provided</t>
  </si>
  <si>
    <t>Proper sequence with other trades</t>
  </si>
  <si>
    <t>All areas are cleaned before installation</t>
  </si>
  <si>
    <t>On slabs, surfaces are primed if required</t>
  </si>
  <si>
    <t>On slabs, moisture tests are performed if required</t>
  </si>
  <si>
    <t>Area temperature maintained during and after installation</t>
  </si>
  <si>
    <t>Observe pattern matching in sheet material</t>
  </si>
  <si>
    <t>Direction of tile is as specified</t>
  </si>
  <si>
    <t>Cement applied at proper rate and proper tackiness</t>
  </si>
  <si>
    <t>Observe joints and seams are tight and level</t>
  </si>
  <si>
    <t>Minimum length of pieces is observed</t>
  </si>
  <si>
    <t>Verify provisions for thresholds and joinings</t>
  </si>
  <si>
    <t>Verify level joining at electrical cover plates</t>
  </si>
  <si>
    <t>Excess adhesive removed after installation</t>
  </si>
  <si>
    <t>Scuffed, broken or discolored tile is replaced</t>
  </si>
  <si>
    <t>Rolled material unrolled 24 hrs before installation</t>
  </si>
  <si>
    <t>Sheet flooring is rolled starting from center</t>
  </si>
  <si>
    <t>Temporary protective cover is provided if required</t>
  </si>
  <si>
    <t>Prepare subfloor for receiving flooring</t>
  </si>
  <si>
    <t>Verify compatibility with floor hardener</t>
  </si>
  <si>
    <t>SAUNALOUNGE — QUALITY CONTROL CHECKLIST:  ACT CEILINGS</t>
  </si>
  <si>
    <t>Above-ceiling MEP coordination inspection signed off (HOLD POINT)</t>
  </si>
  <si>
    <t>All above-ceiling work tested, inspected and labelled</t>
  </si>
  <si>
    <t>Ceiling height and datum verified against reflected ceiling plan</t>
  </si>
  <si>
    <t>Grid layout matches RCP; borders symmetrical</t>
  </si>
  <si>
    <t>Suspension wires plumb, spacing per spec, 4 twists minimum</t>
  </si>
  <si>
    <t>Independent support for light fixtures and diffusers</t>
  </si>
  <si>
    <t>Seismic / lateral bracing per detail where required</t>
  </si>
  <si>
    <t>Perimeter angle level within tolerance</t>
  </si>
  <si>
    <t>Grid level within 1/8 in. in 10 ft</t>
  </si>
  <si>
    <t>Panel type, edge detail and finish per approved submittal</t>
  </si>
  <si>
    <t>Panels handled with clean gloves; no soiling or damage</t>
  </si>
  <si>
    <t>Access panels located per coordination and accessible</t>
  </si>
  <si>
    <t>Sprinkler head escutcheons centred in tile</t>
  </si>
  <si>
    <t>Diffusers, grilles and devices centred and square</t>
  </si>
  <si>
    <t>Cut tiles clean and neatly fitted</t>
  </si>
  <si>
    <t>Barrel vault and soffit transitions per detail</t>
  </si>
  <si>
    <t>Wet-area ceiling panels moisture-resistant type per spec</t>
  </si>
  <si>
    <t>Fire-rated ceiling assemblies per listed detail</t>
  </si>
  <si>
    <t>Punch and damage repair complete before turnover</t>
  </si>
  <si>
    <t>Attic stock quantity delivered to Owner</t>
  </si>
  <si>
    <t>SAUNALOUNGE — QUALITY CONTROL CHECKLIST:  MILLWORK &amp; CASEWORK</t>
  </si>
  <si>
    <t>Zones A &amp; B — lockers, reception, bar, coat check, kitchen</t>
  </si>
  <si>
    <t>Approved shop drawings and finish samples on site</t>
  </si>
  <si>
    <t>Field dimensions verified before fabrication (VIF)</t>
  </si>
  <si>
    <t>First article / shop visit review completed and signed off</t>
  </si>
  <si>
    <t>Material species, grade and core per approved submittal</t>
  </si>
  <si>
    <t>AWI / manufacturer quality grade confirmed</t>
  </si>
  <si>
    <t>Delivered units inspected for damage, warp and finish defects</t>
  </si>
  <si>
    <t>Moisture content of wood within specified range</t>
  </si>
  <si>
    <t>Site conditions acclimatised before installation</t>
  </si>
  <si>
    <t>Blocking and in-wall backing verified before close-in</t>
  </si>
  <si>
    <t>Anchorage type and count per detail; secure to structure</t>
  </si>
  <si>
    <t>Units installed plumb, level and square</t>
  </si>
  <si>
    <t>Scribes, fillers and reveals consistent and tight</t>
  </si>
  <si>
    <t>Countertop seams tight, supported and sealed</t>
  </si>
  <si>
    <t>Wet-area substrates and edges sealed against moisture</t>
  </si>
  <si>
    <t>Sink and appliance cut-outs sized and sealed</t>
  </si>
  <si>
    <t>Hardware type, quantity and operation per spec</t>
  </si>
  <si>
    <t>Drawers and doors aligned with consistent gaps</t>
  </si>
  <si>
    <t>Soft-close and locking hardware functions correctly</t>
  </si>
  <si>
    <t>Lockers, reception desk, gates and kiosk fit and function verified</t>
  </si>
  <si>
    <t>Bar and coat check millwork coordination with MEP verified</t>
  </si>
  <si>
    <t>ADA clearances and heights verified</t>
  </si>
  <si>
    <t>Finish touch-up complete; no visible damage</t>
  </si>
  <si>
    <t>Protection installed until turnover</t>
  </si>
  <si>
    <t>O&amp;M, warranty and attic stock provided</t>
  </si>
  <si>
    <t>SAUNALOUNGE — QUALITY CONTROL CHECKLIST:  PAINTING</t>
  </si>
  <si>
    <t>Tier 1</t>
  </si>
  <si>
    <t>Approved colour schedule and samples on site</t>
  </si>
  <si>
    <t>Mock-up / sample area approved before production</t>
  </si>
  <si>
    <t>Product, sheen and system match approved submittal</t>
  </si>
  <si>
    <t>Substrate clean, dry, sound and within moisture limits</t>
  </si>
  <si>
    <t>Surface preparation per manufacturer requirements</t>
  </si>
  <si>
    <t>Ambient and surface temperature and humidity within limits</t>
  </si>
  <si>
    <t>Ventilation adequate during application and cure</t>
  </si>
  <si>
    <t>Adjacent surfaces and finishes masked and protected</t>
  </si>
  <si>
    <t>Primer type correct for each substrate</t>
  </si>
  <si>
    <t>Number of coats per spec applied and recorded</t>
  </si>
  <si>
    <t>Dry film thickness / coverage rate verified</t>
  </si>
  <si>
    <t>Wet-area and high-humidity coatings correct type</t>
  </si>
  <si>
    <t>Cut lines sharp and straight at transitions</t>
  </si>
  <si>
    <t>No holidays, runs, sags, lap marks or roller stipple</t>
  </si>
  <si>
    <t>Wall covering pattern match and seams verified</t>
  </si>
  <si>
    <t>Hardware, plates and devices removed and reinstalled</t>
  </si>
  <si>
    <t>Mechanical and electrical items painted or masked per spec</t>
  </si>
  <si>
    <t>Touch-up and final coat after punch complete</t>
  </si>
  <si>
    <t>Attic stock and colour records provided to Owner</t>
  </si>
  <si>
    <t>SAUNALOUNGE — QUALITY CONTROL CHECKLIST:  ELECTRICAL</t>
  </si>
  <si>
    <t>26 00 00</t>
  </si>
  <si>
    <t>Whole premises — Zone A &amp; Zone B (pool room)</t>
  </si>
  <si>
    <t>Approved shop drawings, panel schedules and submittals on site</t>
  </si>
  <si>
    <t>Equipment matches approved submittal (SWBD-1, MP-1, KP-1, LP-1, RP-1)</t>
  </si>
  <si>
    <t>Working clearances at panels per NEC and code</t>
  </si>
  <si>
    <t>Conduit routing coordinated; no conflicts with other trades</t>
  </si>
  <si>
    <t>Conduit supports and spacing per code</t>
  </si>
  <si>
    <t>Box type, size and fill compliant; wet-location boxes where required</t>
  </si>
  <si>
    <t>Pre-cover inspection of rough-in signed off (HOLD POINT)</t>
  </si>
  <si>
    <t>Wire type, size and colour code per spec and NEC</t>
  </si>
  <si>
    <t>Grounding and bonding continuity tested and recorded</t>
  </si>
  <si>
    <t>Insulation resistance (megger) test complete before energisation</t>
  </si>
  <si>
    <t>Breaker sizes and settings match panel schedule</t>
  </si>
  <si>
    <t>Panel and circuit labelling complete and accurate</t>
  </si>
  <si>
    <t>Arc flash / equipment labelling applied</t>
  </si>
  <si>
    <t>Zone A and Zone B (pool room) wiring methods per code for damp locations</t>
  </si>
  <si>
    <t>GFCI protection provided in all required wet locations</t>
  </si>
  <si>
    <t>Pool / spa equipment bonding verified per NEC Article 680</t>
  </si>
  <si>
    <t>Roof equipment disconnects installed and labelled</t>
  </si>
  <si>
    <t>Low-voltage and AV rough-in separated per spec</t>
  </si>
  <si>
    <t>Lighting fixtures installed, aimed and lamped per RCP</t>
  </si>
  <si>
    <t>Lighting controls and dimming scenes tested and accepted</t>
  </si>
  <si>
    <t>Fire alarm interface circuits verified</t>
  </si>
  <si>
    <t>DOB electrical rough inspection passed</t>
  </si>
  <si>
    <t>DOB electrical final inspection / Certificate of Electrical Inspection obtained</t>
  </si>
  <si>
    <t>As-built panel schedules and O&amp;M turned over</t>
  </si>
  <si>
    <t>SAUNALOUNGE — QUALITY CONTROL CHECKLIST:  PLUMBING</t>
  </si>
  <si>
    <t>22 00 00</t>
  </si>
  <si>
    <t>Approved submittals for fixtures, valves and equipment on site</t>
  </si>
  <si>
    <t>Material type and rating per spec (CW, HW, waste, vent, gas)</t>
  </si>
  <si>
    <t>Pipe supports, hangers and spacing per code</t>
  </si>
  <si>
    <t>Sleeves and firestopping at all rated penetrations</t>
  </si>
  <si>
    <t>Insulation type and thickness per spec; vapour barrier continuous</t>
  </si>
  <si>
    <t>Slope of waste and vent lines verified</t>
  </si>
  <si>
    <t>Cleanouts located and accessible</t>
  </si>
  <si>
    <t>Backflow prevention device installed per DEP requirements</t>
  </si>
  <si>
    <t>Hydrostatic / air test on domestic water complete and recorded</t>
  </si>
  <si>
    <t>Waste and vent test complete and recorded</t>
  </si>
  <si>
    <t>DOB plumbing rough inspection passed (HOLD POINT before cover)</t>
  </si>
  <si>
    <t>Gas piping material, sizing and support per code</t>
  </si>
  <si>
    <t>Gas pressure test at 10 psi for 15 min minimum, DOB witnessed</t>
  </si>
  <si>
    <t>Gas Activation Notice obtained from utility</t>
  </si>
  <si>
    <t>4x Rheem tankless water heaters installed per manufacturer</t>
  </si>
  <si>
    <t>ST-120 storage tank installed, piped and insulated</t>
  </si>
  <si>
    <t>Combustion air and venting per manufacturer and code</t>
  </si>
  <si>
    <t>Combustion test performed; DOB Boiler Unit inspection arranged</t>
  </si>
  <si>
    <t>Recirculation and mixing valve set points verified and recorded</t>
  </si>
  <si>
    <t>Pool make-up water connection coordinated with Owner's vendor</t>
  </si>
  <si>
    <t>Trench drains and floor drains set to correct elevation and slope</t>
  </si>
  <si>
    <t>Suitemate water extractor voltage substitution verified per RFI</t>
  </si>
  <si>
    <t>Fixtures set level, sealed and operating; ADA heights verified</t>
  </si>
  <si>
    <t>Pipe labelling and valve tag chart complete</t>
  </si>
  <si>
    <t>DEP meter set and backflow certification filed</t>
  </si>
  <si>
    <t>As-builts, O&amp;M manuals and warranties turned over</t>
  </si>
  <si>
    <t>SAUNALOUNGE — QUALITY CONTROL CHECKLIST:  HVAC &amp; DUCTWORK</t>
  </si>
  <si>
    <t>Approved submittals and coordination drawings on site</t>
  </si>
  <si>
    <t>Equipment matches approved submittal and Exhibit C early release</t>
  </si>
  <si>
    <t>Roof curbs, supports and flashing complete and water tested</t>
  </si>
  <si>
    <t>Vibration isolation and seismic restraints installed per detail</t>
  </si>
  <si>
    <t>Clearances for service and code access maintained</t>
  </si>
  <si>
    <t>Ductwork gauge, reinforcement and sealing class per SMACNA</t>
  </si>
  <si>
    <t>Duct hangers and supports per SMACNA spacing</t>
  </si>
  <si>
    <t>Duct insulation type and thickness per spec, vapour barrier continuous</t>
  </si>
  <si>
    <t>Duct pressure / leakage test complete before close-up (HOLD POINT)</t>
  </si>
  <si>
    <t>Fire and smoke dampers installed with correct sleeves and access</t>
  </si>
  <si>
    <t>Damper closure on fire alarm interface tested</t>
  </si>
  <si>
    <t>Refrigerant piping pressure and vacuum test complete before charge</t>
  </si>
  <si>
    <t>Refrigerant charge verified and recorded per manufacturer</t>
  </si>
  <si>
    <t>Condensate drains sloped, trapped and terminated correctly</t>
  </si>
  <si>
    <t>Pool dehumidifier PDU-1 installed and drained per manufacturer</t>
  </si>
  <si>
    <t>Corrosion-resistant materials used in pool room (Zone B)</t>
  </si>
  <si>
    <t>Kitchen exhaust KEF-1 and MUA-1 interlocked and tested</t>
  </si>
  <si>
    <t>Grease duct construction and clearances per code where applicable</t>
  </si>
  <si>
    <t>ERV-1 and ERV-2 filters, dampers and controls verified</t>
  </si>
  <si>
    <t>Controls point-to-point verification complete</t>
  </si>
  <si>
    <t>Vendor certified startup performed and report issued</t>
  </si>
  <si>
    <t>Functional performance testing complete and accepted</t>
  </si>
  <si>
    <t>TAB complete; airflows within ±10% of design CFM</t>
  </si>
  <si>
    <t>TR8 mechanical / energy special inspection signed off</t>
  </si>
  <si>
    <t>Filters replaced before turnover; systems clean</t>
  </si>
  <si>
    <t>O&amp;M manuals, warranties and training delivered</t>
  </si>
  <si>
    <t>SAUNALOUNGE — QUALITY CONTROL CHECKLIST:  FIRE SPRINKLER</t>
  </si>
  <si>
    <t>Whole premises — 87 new heads</t>
  </si>
  <si>
    <t>Approved shop drawings and hydraulic calculations on site</t>
  </si>
  <si>
    <t>Head type, temperature rating and finish per approved submittal</t>
  </si>
  <si>
    <t>87 new heads accounted for: concealed, recessed, upright, dry pendent</t>
  </si>
  <si>
    <t>Dry pendent heads used in all non-heated / freeze-risk locations</t>
  </si>
  <si>
    <t>Pipe material, fittings and listings per NFPA 13 and spec</t>
  </si>
  <si>
    <t>Hangers, seismic bracing and spacing per NFPA 13</t>
  </si>
  <si>
    <t>Head spacing, distance to walls and obstruction rules verified</t>
  </si>
  <si>
    <t>Coverage verified against final RCP and partition layout</t>
  </si>
  <si>
    <t>Sprinkler escutcheons and coverplates centred in ceiling tile</t>
  </si>
  <si>
    <t>Clearance to obstructions (ducts, lights, soffits, barrel vault) verified</t>
  </si>
  <si>
    <t>Inspector's test connection and drain provided and accessible</t>
  </si>
  <si>
    <t>Control valves accessible, labelled and supervised</t>
  </si>
  <si>
    <t>Hydrostatic test at 200 psi held 2 hrs, DOB witnessed</t>
  </si>
  <si>
    <t>Hydrostatic test record signed and uploaded to Procore</t>
  </si>
  <si>
    <t>Flow test performed; alarm signal within 90 seconds</t>
  </si>
  <si>
    <t>Waterflow and tamper switches wired and supervised at FACP</t>
  </si>
  <si>
    <t>FDNY field acceptance test passed</t>
  </si>
  <si>
    <t>Standpipe / riser signage legible and accurate</t>
  </si>
  <si>
    <t>Hydraulic design nameplate installed at riser</t>
  </si>
  <si>
    <t>Spare head cabinet with wrench and spare heads provided</t>
  </si>
  <si>
    <t>TR1 special inspection signed off</t>
  </si>
  <si>
    <t>Contractor's material and test certificate issued</t>
  </si>
  <si>
    <t>As-builts, O&amp;M and warranty turned over</t>
  </si>
  <si>
    <t>SAUNALOUNGE — QUALITY CONTROL CHECKLIST:  FIRE ALARM</t>
  </si>
  <si>
    <t>Whole premises — FACP / RAN</t>
  </si>
  <si>
    <t>Approved shop drawings, riser diagram and device layout on site</t>
  </si>
  <si>
    <t>FDNY / DOB drawing approval obtained before installation</t>
  </si>
  <si>
    <t>Device type and model match approved submittal</t>
  </si>
  <si>
    <t>FACP and RAN locations per approved drawings and accessible</t>
  </si>
  <si>
    <t>Battery calculations and standby capacity verified</t>
  </si>
  <si>
    <t>Conduit, wiring type and class per NFPA 72 and spec</t>
  </si>
  <si>
    <t>Wiring segregated from power circuits per code</t>
  </si>
  <si>
    <t>Device mounting heights per NFPA 72 and ADA</t>
  </si>
  <si>
    <t>Smoke detector spacing and proximity to diffusers verified</t>
  </si>
  <si>
    <t>Detectors in pool room / high-humidity areas correct type</t>
  </si>
  <si>
    <t>Heat detectors in kitchen and mechanical spaces per design</t>
  </si>
  <si>
    <t>Notification appliance candela settings and audibility verified</t>
  </si>
  <si>
    <t>Strobe synchronisation verified</t>
  </si>
  <si>
    <t>Duct smoke detectors installed and accessible for service</t>
  </si>
  <si>
    <t>HVAC damper closure interface tested on alarm</t>
  </si>
  <si>
    <t>Door hold-open device release interface tested on alarm</t>
  </si>
  <si>
    <t>Sprinkler waterflow and tamper supervision verified at FACP</t>
  </si>
  <si>
    <t>Elevator recall — N/A (no elevator scope on this project)</t>
  </si>
  <si>
    <t>Device labelling and zone schedule complete and accurate</t>
  </si>
  <si>
    <t>100% pre-test of all initiating, signaling and notification devices</t>
  </si>
  <si>
    <t>Pre-test report signed by subcontractor before FDNY witness</t>
  </si>
  <si>
    <t>All pre-test deficiencies corrected and re-tested; zero open NCRs</t>
  </si>
  <si>
    <t>Central station account active; signal transmission verified</t>
  </si>
  <si>
    <t>FDNY witness / acceptance test passed</t>
  </si>
  <si>
    <t>FDNY Letter of Approval (LOA) received and archived</t>
  </si>
  <si>
    <t>Owner training delivered; O&amp;M, as-builts and warranty turned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</si>
</sst>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
    <numFmt numFmtId="166" formatCode="hh:mm\ AM/PM"/>
  </numFmts>
  <fonts count="43" x14ac:knownFonts="1">
    <font>
      <sz val="12"/>
      <color theme="1"/>
      <name val="Aptos Narrow"/>
      <family val="2"/>
      <scheme val="minor"/>
    </font>
    <font>
      <sz val="12"/>
      <color theme="1"/>
      <name val="Times New Roman"/>
      <family val="1"/>
    </font>
    <font>
      <sz val="8"/>
      <name val="Aptos Narrow"/>
      <family val="2"/>
      <scheme val="minor"/>
    </font>
    <font>
      <sz val="12"/>
      <color theme="1"/>
      <name val="Calibri"/>
      <family val="2"/>
    </font>
    <font>
      <sz val="12"/>
      <color theme="1"/>
      <name val="Roboto Light"/>
    </font>
    <font>
      <sz val="10"/>
      <color rgb="FF000000"/>
      <name val="Roboto Light"/>
    </font>
    <font>
      <i/>
      <sz val="9.5"/>
      <color rgb="FF595959"/>
      <name val="Roboto Light"/>
    </font>
    <font>
      <sz val="10"/>
      <color rgb="FF0000FF"/>
      <name val="Roboto Light"/>
    </font>
    <font>
      <sz val="10"/>
      <color theme="1"/>
      <name val="Roboto Light"/>
    </font>
    <font>
      <b/>
      <sz val="22"/>
      <color rgb="FFFFFFFF"/>
      <name val="Roboto Medium"/>
    </font>
    <font>
      <b/>
      <sz val="13"/>
      <color rgb="FF00524C"/>
      <name val="Roboto Medium"/>
    </font>
    <font>
      <b/>
      <sz val="11.5"/>
      <color rgb="FFFFFFFF"/>
      <name val="Roboto Medium"/>
    </font>
    <font>
      <b/>
      <sz val="10"/>
      <color theme="1"/>
      <name val="Roboto Medium"/>
    </font>
    <font>
      <b/>
      <sz val="10"/>
      <color rgb="FFFFFFFF"/>
      <name val="Roboto Medium"/>
    </font>
    <font>
      <b/>
      <i/>
      <sz val="9.5"/>
      <color rgb="FF595959"/>
      <name val="Roboto Medium"/>
    </font>
    <font>
      <b/>
      <sz val="10"/>
      <color rgb="FF000000"/>
      <name val="Roboto Medium"/>
    </font>
    <font>
      <b/>
      <sz val="10"/>
      <color rgb="FF1F4E79"/>
      <name val="Roboto Medium"/>
    </font>
    <font>
      <sz val="10"/>
      <color rgb="FF00A499"/>
      <name val="Roboto Light"/>
    </font>
    <font>
      <b/>
      <sz val="18"/>
      <color rgb="FFFFFFFF"/>
      <name val="Roboto Medium"/>
    </font>
    <font>
      <b/>
      <sz val="10"/>
      <color rgb="FF00524C"/>
      <name val="Roboto Medium"/>
    </font>
    <font>
      <b/>
      <sz val="10"/>
      <color rgb="FF00A499"/>
      <name val="Roboto Medium"/>
    </font>
    <font>
      <b/>
      <sz val="14"/>
      <color rgb="FFFFFFFF"/>
      <name val="Roboto Medium"/>
    </font>
    <font>
      <b/>
      <sz val="10.5"/>
      <color theme="1"/>
      <name val="Roboto Medium"/>
    </font>
    <font>
      <b/>
      <sz val="10.5"/>
      <color rgb="FF0000FF"/>
      <name val="Roboto Medium"/>
    </font>
    <font>
      <b/>
      <sz val="10.5"/>
      <color rgb="FF00A499"/>
      <name val="Roboto Medium"/>
    </font>
    <font>
      <b/>
      <sz val="10.5"/>
      <color rgb="FFFFFFFF"/>
      <name val="Roboto Medium"/>
    </font>
    <font>
      <i/>
      <sz val="9.5"/>
      <color rgb="FF9C0006"/>
      <name val="Roboto Light"/>
    </font>
    <font>
      <sz val="9.5"/>
      <color theme="1"/>
      <name val="Roboto Light"/>
    </font>
    <font>
      <sz val="9.5"/>
      <color rgb="FF0000FF"/>
      <name val="Roboto Light"/>
    </font>
    <font>
      <b/>
      <sz val="9.5"/>
      <color theme="1"/>
      <name val="Roboto Medium"/>
    </font>
    <font>
      <b/>
      <sz val="9.5"/>
      <color rgb="FF0000FF"/>
      <name val="Roboto Medium"/>
    </font>
    <font>
      <b/>
      <sz val="9.5"/>
      <color rgb="FF00A499"/>
      <name val="Roboto Medium"/>
    </font>
    <font>
      <b/>
      <sz val="9.5"/>
      <color rgb="FF000000"/>
      <name val="Roboto Medium"/>
    </font>
    <font>
      <i/>
      <sz val="10"/>
      <color theme="1"/>
      <name val="Roboto Light"/>
    </font>
    <font>
      <b/>
      <i/>
      <sz val="10"/>
      <color theme="1"/>
      <name val="Roboto Medium"/>
    </font>
    <font>
      <b/>
      <sz val="12"/>
      <color theme="1"/>
      <name val="Roboto Medium"/>
    </font>
    <font>
      <b/>
      <sz val="11"/>
      <color theme="1"/>
      <name val="Roboto Medium"/>
    </font>
    <font>
      <b/>
      <sz val="10"/>
      <color rgb="FF0000FF"/>
      <name val="Roboto Medium"/>
    </font>
    <font>
      <b/>
      <sz val="9.5"/>
      <color rgb="FF00524C"/>
      <name val="Roboto Medium"/>
    </font>
    <font>
      <b/>
      <sz val="8.5"/>
      <color theme="1"/>
      <name val="Roboto Medium"/>
    </font>
    <font>
      <i/>
      <sz val="11"/>
      <color rgb="FF00524C"/>
      <name val="Roboto Light"/>
    </font>
    <font>
      <b/>
      <sz val="10.5"/>
      <color rgb="FF00524C"/>
      <name val="Roboto Medium"/>
    </font>
    <font>
      <b/>
      <sz val="8.5"/>
      <color rgb="FF00524C"/>
      <name val="Roboto Medium"/>
    </font>
  </fonts>
  <fills count="9">
    <fill>
      <patternFill patternType="none"/>
    </fill>
    <fill>
      <patternFill patternType="gray125"/>
    </fill>
    <fill>
      <patternFill patternType="solid">
        <fgColor rgb="FFFFFF00"/>
        <bgColor indexed="64"/>
      </patternFill>
    </fill>
    <fill>
      <patternFill patternType="solid">
        <fgColor rgb="FFFFF2CC"/>
        <bgColor indexed="64"/>
      </patternFill>
    </fill>
    <fill>
      <patternFill patternType="solid">
        <fgColor rgb="FFF2F2F2"/>
        <bgColor indexed="64"/>
      </patternFill>
    </fill>
    <fill>
      <patternFill patternType="solid">
        <fgColor rgb="FFFFFFFF"/>
        <bgColor indexed="64"/>
      </patternFill>
    </fill>
    <fill>
      <patternFill patternType="solid">
        <fgColor rgb="FF00524C"/>
        <bgColor indexed="64"/>
      </patternFill>
    </fill>
    <fill>
      <patternFill patternType="solid">
        <fgColor rgb="FFD6D1C3"/>
        <bgColor indexed="64"/>
      </patternFill>
    </fill>
    <fill>
      <patternFill patternType="solid">
        <fgColor rgb="FF00A499"/>
        <bgColor indexed="64"/>
      </patternFill>
    </fill>
  </fills>
  <borders count="48">
    <border>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BFBFBF"/>
      </right>
      <top style="thin">
        <color rgb="FFBFBFBF"/>
      </top>
      <bottom style="thin">
        <color rgb="FF7F7F7F"/>
      </bottom>
      <diagonal/>
    </border>
    <border>
      <left style="thin">
        <color rgb="FFBFBFBF"/>
      </left>
      <right style="thin">
        <color rgb="FFBFBFBF"/>
      </right>
      <top style="thin">
        <color rgb="FFBFBFBF"/>
      </top>
      <bottom style="thin">
        <color rgb="FF7F7F7F"/>
      </bottom>
      <diagonal/>
    </border>
    <border>
      <left style="thin">
        <color rgb="FFBFBFBF"/>
      </left>
      <right/>
      <top style="thin">
        <color rgb="FFBFBFBF"/>
      </top>
      <bottom style="thin">
        <color rgb="FF7F7F7F"/>
      </bottom>
      <diagonal/>
    </border>
    <border>
      <left/>
      <right style="thin">
        <color rgb="FFBFBFBF"/>
      </right>
      <top style="thin">
        <color rgb="FF7F7F7F"/>
      </top>
      <bottom style="thin">
        <color rgb="FFBFBFBF"/>
      </bottom>
      <diagonal/>
    </border>
    <border>
      <left style="thin">
        <color rgb="FFBFBFBF"/>
      </left>
      <right style="thin">
        <color rgb="FFBFBFBF"/>
      </right>
      <top style="thin">
        <color rgb="FF7F7F7F"/>
      </top>
      <bottom style="thin">
        <color rgb="FFBFBFBF"/>
      </bottom>
      <diagonal/>
    </border>
    <border>
      <left style="thin">
        <color rgb="FFBFBFBF"/>
      </left>
      <right/>
      <top style="thin">
        <color rgb="FF7F7F7F"/>
      </top>
      <bottom style="thin">
        <color rgb="FFBFBFBF"/>
      </bottom>
      <diagonal/>
    </border>
    <border>
      <left/>
      <right style="thin">
        <color rgb="FF404040"/>
      </right>
      <top/>
      <bottom/>
      <diagonal/>
    </border>
    <border>
      <left style="thin">
        <color rgb="FF404040"/>
      </left>
      <right style="thin">
        <color rgb="FF404040"/>
      </right>
      <top/>
      <bottom/>
      <diagonal/>
    </border>
    <border>
      <left style="thin">
        <color rgb="FF404040"/>
      </left>
      <right/>
      <top/>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right/>
      <top style="thin">
        <color rgb="FF7F7F7F"/>
      </top>
      <bottom/>
      <diagonal/>
    </border>
    <border>
      <left style="thin">
        <color rgb="FFBFBFBF"/>
      </left>
      <right/>
      <top style="thin">
        <color rgb="FF7F7F7F"/>
      </top>
      <bottom/>
      <diagonal/>
    </border>
    <border>
      <left/>
      <right style="thin">
        <color rgb="FFBFBFBF"/>
      </right>
      <top style="thin">
        <color rgb="FF7F7F7F"/>
      </top>
      <bottom/>
      <diagonal/>
    </border>
    <border>
      <left style="thin">
        <color rgb="FFBFBFBF"/>
      </left>
      <right/>
      <top/>
      <bottom/>
      <diagonal/>
    </border>
    <border>
      <left/>
      <right style="thin">
        <color rgb="FFBFBFBF"/>
      </right>
      <top/>
      <bottom/>
      <diagonal/>
    </border>
    <border>
      <left/>
      <right style="thin">
        <color rgb="FFBFBFBF"/>
      </right>
      <top style="thick">
        <color rgb="FFBFBFBF"/>
      </top>
      <bottom style="thin">
        <color rgb="FF7F7F7F"/>
      </bottom>
      <diagonal/>
    </border>
    <border>
      <left style="thin">
        <color rgb="FFBFBFBF"/>
      </left>
      <right style="thin">
        <color rgb="FFBFBFBF"/>
      </right>
      <top style="thick">
        <color rgb="FFBFBFBF"/>
      </top>
      <bottom style="thin">
        <color rgb="FF7F7F7F"/>
      </bottom>
      <diagonal/>
    </border>
    <border>
      <left style="thin">
        <color rgb="FFBFBFBF"/>
      </left>
      <right/>
      <top style="thick">
        <color rgb="FFBFBFBF"/>
      </top>
      <bottom style="thin">
        <color rgb="FF7F7F7F"/>
      </bottom>
      <diagonal/>
    </border>
    <border>
      <left/>
      <right style="thin">
        <color rgb="FFBFBFBF"/>
      </right>
      <top style="thin">
        <color rgb="FF7F7F7F"/>
      </top>
      <bottom style="thin">
        <color rgb="FF7F7F7F"/>
      </bottom>
      <diagonal/>
    </border>
    <border>
      <left style="thin">
        <color rgb="FFBFBFBF"/>
      </left>
      <right style="thin">
        <color rgb="FFBFBFBF"/>
      </right>
      <top style="thin">
        <color rgb="FF7F7F7F"/>
      </top>
      <bottom style="thin">
        <color rgb="FF7F7F7F"/>
      </bottom>
      <diagonal/>
    </border>
    <border>
      <left style="thin">
        <color rgb="FFBFBFBF"/>
      </left>
      <right/>
      <top style="thin">
        <color rgb="FF7F7F7F"/>
      </top>
      <bottom style="thin">
        <color rgb="FF7F7F7F"/>
      </bottom>
      <diagonal/>
    </border>
    <border>
      <left/>
      <right/>
      <top style="thin">
        <color rgb="FF7F7F7F"/>
      </top>
      <bottom style="thin">
        <color rgb="FFBFBFBF"/>
      </bottom>
      <diagonal/>
    </border>
  </borders>
  <cellStyleXfs count="1">
    <xf numFmtId="0" fontId="0" fillId="0" borderId="0"/>
  </cellStyleXfs>
  <cellXfs count="284">
    <xf numFmtId="0" fontId="0" fillId="0" borderId="0" xfId="0"/>
    <xf numFmtId="0" fontId="1" fillId="0" borderId="0" xfId="0" applyFont="1" applyAlignment="1">
      <alignment vertical="center"/>
    </xf>
    <xf numFmtId="0" fontId="1" fillId="0" borderId="0" xfId="0" applyFont="1" applyAlignment="1">
      <alignment vertical="center" wrapText="1"/>
    </xf>
    <xf numFmtId="0" fontId="3" fillId="0" borderId="0" xfId="0" applyFont="1"/>
    <xf numFmtId="0" fontId="4" fillId="0" borderId="0" xfId="0" applyFont="1"/>
    <xf numFmtId="0" fontId="5" fillId="0" borderId="0" xfId="0" applyFont="1" applyAlignment="1">
      <alignment vertical="center" wrapText="1"/>
    </xf>
    <xf numFmtId="0" fontId="6" fillId="0" borderId="0" xfId="0" applyFont="1" applyAlignment="1">
      <alignment vertical="center" wrapText="1"/>
    </xf>
    <xf numFmtId="0" fontId="5" fillId="0" borderId="35" xfId="0" applyFont="1" applyBorder="1" applyAlignment="1">
      <alignment vertical="center" wrapText="1"/>
    </xf>
    <xf numFmtId="0" fontId="6" fillId="0" borderId="35" xfId="0" applyFont="1" applyBorder="1" applyAlignment="1">
      <alignment vertical="center" wrapText="1"/>
    </xf>
    <xf numFmtId="14" fontId="5" fillId="0" borderId="35" xfId="0" applyNumberFormat="1" applyFont="1" applyBorder="1" applyAlignment="1">
      <alignment vertical="center" wrapText="1"/>
    </xf>
    <xf numFmtId="0" fontId="7" fillId="2" borderId="35" xfId="0" applyFont="1" applyFill="1" applyBorder="1" applyAlignment="1">
      <alignment vertical="center" wrapText="1"/>
    </xf>
    <xf numFmtId="0" fontId="7" fillId="2" borderId="34" xfId="0" applyFont="1" applyFill="1" applyBorder="1" applyAlignment="1">
      <alignment vertical="center" wrapText="1"/>
    </xf>
    <xf numFmtId="0" fontId="6" fillId="0" borderId="34" xfId="0" applyFont="1" applyBorder="1" applyAlignment="1">
      <alignment vertical="center" wrapText="1"/>
    </xf>
    <xf numFmtId="0" fontId="8" fillId="0" borderId="0" xfId="0" applyFont="1" applyAlignment="1">
      <alignment vertical="center" wrapText="1"/>
    </xf>
    <xf numFmtId="0" fontId="6" fillId="5" borderId="33" xfId="0" applyFont="1" applyFill="1" applyBorder="1" applyAlignment="1">
      <alignment vertical="center" wrapText="1"/>
    </xf>
    <xf numFmtId="0" fontId="6" fillId="5" borderId="34" xfId="0" applyFont="1" applyFill="1" applyBorder="1" applyAlignment="1">
      <alignment vertical="center" wrapText="1"/>
    </xf>
    <xf numFmtId="0" fontId="8" fillId="0" borderId="35" xfId="0" applyFont="1" applyBorder="1" applyAlignment="1">
      <alignment vertical="center" wrapText="1"/>
    </xf>
    <xf numFmtId="0" fontId="5" fillId="5" borderId="35" xfId="0" applyFont="1" applyFill="1" applyBorder="1" applyAlignment="1">
      <alignment vertical="center" wrapText="1"/>
    </xf>
    <xf numFmtId="0" fontId="8" fillId="0" borderId="34" xfId="0" applyFont="1" applyBorder="1" applyAlignment="1">
      <alignment vertical="center" wrapText="1"/>
    </xf>
    <xf numFmtId="0" fontId="12" fillId="0" borderId="0" xfId="0" applyFont="1" applyAlignment="1">
      <alignment vertical="center" wrapText="1"/>
    </xf>
    <xf numFmtId="0" fontId="12" fillId="0" borderId="35" xfId="0" applyFont="1" applyBorder="1" applyAlignment="1">
      <alignment vertical="center" wrapText="1"/>
    </xf>
    <xf numFmtId="0" fontId="12" fillId="0" borderId="34" xfId="0" applyFont="1" applyBorder="1" applyAlignment="1">
      <alignment vertical="center" wrapText="1"/>
    </xf>
    <xf numFmtId="0" fontId="15" fillId="5" borderId="33" xfId="0" applyFont="1" applyFill="1" applyBorder="1" applyAlignment="1">
      <alignment vertical="center" wrapText="1"/>
    </xf>
    <xf numFmtId="0" fontId="15" fillId="5" borderId="34" xfId="0" applyFont="1" applyFill="1" applyBorder="1" applyAlignment="1">
      <alignment vertical="center" wrapText="1"/>
    </xf>
    <xf numFmtId="0" fontId="16" fillId="0" borderId="0" xfId="0" applyFont="1" applyAlignment="1">
      <alignment vertical="center" wrapText="1"/>
    </xf>
    <xf numFmtId="0" fontId="16" fillId="0" borderId="35" xfId="0" applyFont="1" applyBorder="1" applyAlignment="1">
      <alignment vertical="center" wrapText="1"/>
    </xf>
    <xf numFmtId="0" fontId="16" fillId="0" borderId="34" xfId="0" applyFont="1" applyBorder="1" applyAlignment="1">
      <alignment vertical="center" wrapText="1"/>
    </xf>
    <xf numFmtId="0" fontId="8" fillId="0" borderId="29" xfId="0" applyFont="1" applyBorder="1" applyAlignment="1">
      <alignment vertical="center" wrapText="1"/>
    </xf>
    <xf numFmtId="0" fontId="8" fillId="0" borderId="20" xfId="0" applyFont="1" applyBorder="1" applyAlignment="1">
      <alignment vertical="center" wrapText="1"/>
    </xf>
    <xf numFmtId="0" fontId="8" fillId="0" borderId="23" xfId="0" applyFont="1" applyBorder="1" applyAlignment="1">
      <alignment vertical="center" wrapText="1"/>
    </xf>
    <xf numFmtId="0" fontId="6" fillId="0" borderId="46" xfId="0" applyFont="1" applyBorder="1" applyAlignment="1">
      <alignment vertical="center" wrapText="1"/>
    </xf>
    <xf numFmtId="0" fontId="8" fillId="0" borderId="27" xfId="0" applyFont="1" applyBorder="1" applyAlignment="1">
      <alignment vertical="center" wrapText="1"/>
    </xf>
    <xf numFmtId="0" fontId="8" fillId="0" borderId="18" xfId="0" applyFont="1" applyBorder="1" applyAlignment="1">
      <alignment vertical="center" wrapText="1"/>
    </xf>
    <xf numFmtId="0" fontId="8" fillId="0" borderId="21" xfId="0" applyFont="1" applyBorder="1" applyAlignment="1">
      <alignment vertical="center" wrapText="1"/>
    </xf>
    <xf numFmtId="0" fontId="8" fillId="0" borderId="44" xfId="0" applyFont="1" applyBorder="1" applyAlignment="1">
      <alignment vertical="center" wrapText="1"/>
    </xf>
    <xf numFmtId="0" fontId="8" fillId="0" borderId="28" xfId="0" applyFont="1" applyBorder="1" applyAlignment="1">
      <alignment vertical="center" wrapText="1"/>
    </xf>
    <xf numFmtId="0" fontId="8" fillId="0" borderId="19" xfId="0" applyFont="1" applyBorder="1" applyAlignment="1">
      <alignment vertical="center" wrapText="1"/>
    </xf>
    <xf numFmtId="0" fontId="17" fillId="0" borderId="28" xfId="0" applyFont="1" applyBorder="1" applyAlignment="1">
      <alignment horizontal="center" vertical="center" wrapText="1"/>
    </xf>
    <xf numFmtId="165" fontId="17" fillId="0" borderId="28" xfId="0" applyNumberFormat="1" applyFont="1" applyBorder="1" applyAlignment="1">
      <alignment horizontal="center" vertical="center" wrapText="1"/>
    </xf>
    <xf numFmtId="0" fontId="17" fillId="0" borderId="19" xfId="0" applyFont="1" applyBorder="1" applyAlignment="1">
      <alignment horizontal="center" vertical="center" wrapText="1"/>
    </xf>
    <xf numFmtId="165" fontId="17" fillId="0" borderId="19" xfId="0" applyNumberFormat="1" applyFont="1" applyBorder="1" applyAlignment="1">
      <alignment horizontal="center" vertical="center" wrapText="1"/>
    </xf>
    <xf numFmtId="0" fontId="17" fillId="0" borderId="22" xfId="0" applyFont="1" applyBorder="1" applyAlignment="1">
      <alignment horizontal="center" vertical="center" wrapText="1"/>
    </xf>
    <xf numFmtId="165" fontId="17" fillId="0" borderId="22" xfId="0" applyNumberFormat="1" applyFont="1" applyBorder="1" applyAlignment="1">
      <alignment horizontal="center" vertical="center" wrapText="1"/>
    </xf>
    <xf numFmtId="0" fontId="17" fillId="0" borderId="45" xfId="0" applyFont="1" applyBorder="1" applyAlignment="1">
      <alignment horizontal="center" vertical="center" wrapText="1"/>
    </xf>
    <xf numFmtId="165" fontId="17" fillId="0" borderId="45" xfId="0" applyNumberFormat="1" applyFont="1" applyBorder="1" applyAlignment="1">
      <alignment horizontal="center" vertical="center" wrapText="1"/>
    </xf>
    <xf numFmtId="165" fontId="17" fillId="0" borderId="29" xfId="0" applyNumberFormat="1" applyFont="1" applyBorder="1" applyAlignment="1">
      <alignment horizontal="center" vertical="center" wrapText="1"/>
    </xf>
    <xf numFmtId="165" fontId="17" fillId="0" borderId="20" xfId="0" applyNumberFormat="1" applyFont="1" applyBorder="1" applyAlignment="1">
      <alignment horizontal="center" vertical="center" wrapText="1"/>
    </xf>
    <xf numFmtId="0" fontId="19" fillId="7" borderId="0" xfId="0" applyFont="1" applyFill="1" applyAlignment="1">
      <alignment horizontal="left" vertical="center" wrapText="1"/>
    </xf>
    <xf numFmtId="0" fontId="19" fillId="7" borderId="0" xfId="0" applyFont="1" applyFill="1" applyAlignment="1">
      <alignment horizontal="center" vertical="center" wrapText="1"/>
    </xf>
    <xf numFmtId="0" fontId="12" fillId="0" borderId="27" xfId="0" applyFont="1" applyBorder="1" applyAlignment="1">
      <alignment vertical="center" wrapText="1"/>
    </xf>
    <xf numFmtId="0" fontId="12" fillId="0" borderId="18" xfId="0" applyFont="1" applyBorder="1" applyAlignment="1">
      <alignment vertical="center" wrapText="1"/>
    </xf>
    <xf numFmtId="0" fontId="12" fillId="0" borderId="21" xfId="0" applyFont="1" applyBorder="1" applyAlignment="1">
      <alignment vertical="center" wrapText="1"/>
    </xf>
    <xf numFmtId="0" fontId="12" fillId="0" borderId="44" xfId="0" applyFont="1" applyBorder="1" applyAlignment="1">
      <alignment vertical="center" wrapText="1"/>
    </xf>
    <xf numFmtId="164" fontId="20" fillId="0" borderId="28" xfId="0" applyNumberFormat="1" applyFont="1" applyBorder="1" applyAlignment="1">
      <alignment horizontal="center" vertical="center" wrapText="1"/>
    </xf>
    <xf numFmtId="3" fontId="20" fillId="0" borderId="19" xfId="0" applyNumberFormat="1" applyFont="1" applyBorder="1" applyAlignment="1">
      <alignment horizontal="center" vertical="center" wrapText="1"/>
    </xf>
    <xf numFmtId="164" fontId="20" fillId="0" borderId="19" xfId="0" applyNumberFormat="1" applyFont="1" applyBorder="1" applyAlignment="1">
      <alignment horizontal="center" vertical="center" wrapText="1"/>
    </xf>
    <xf numFmtId="165" fontId="20" fillId="0" borderId="19" xfId="0" applyNumberFormat="1" applyFont="1" applyBorder="1" applyAlignment="1">
      <alignment horizontal="center" vertical="center" wrapText="1"/>
    </xf>
    <xf numFmtId="0" fontId="20" fillId="0" borderId="19" xfId="0" applyFont="1" applyBorder="1" applyAlignment="1">
      <alignment horizontal="center" vertical="center" wrapText="1"/>
    </xf>
    <xf numFmtId="3" fontId="20" fillId="0" borderId="22" xfId="0" applyNumberFormat="1" applyFont="1" applyBorder="1" applyAlignment="1">
      <alignment horizontal="center" vertical="center" wrapText="1"/>
    </xf>
    <xf numFmtId="3" fontId="20" fillId="0" borderId="45" xfId="0" applyNumberFormat="1" applyFont="1" applyBorder="1" applyAlignment="1">
      <alignment horizontal="center" vertical="center" wrapText="1"/>
    </xf>
    <xf numFmtId="0" fontId="12" fillId="0" borderId="28" xfId="0" applyFont="1" applyBorder="1" applyAlignment="1">
      <alignment horizontal="center" vertical="center" wrapText="1"/>
    </xf>
    <xf numFmtId="0" fontId="12" fillId="0" borderId="19" xfId="0" applyFont="1" applyBorder="1" applyAlignment="1">
      <alignment horizontal="center" vertical="center" wrapText="1"/>
    </xf>
    <xf numFmtId="0" fontId="12" fillId="7" borderId="41" xfId="0" applyFont="1" applyFill="1" applyBorder="1" applyAlignment="1">
      <alignment vertical="center" wrapText="1"/>
    </xf>
    <xf numFmtId="0" fontId="12" fillId="7" borderId="42" xfId="0" applyFont="1" applyFill="1" applyBorder="1" applyAlignment="1">
      <alignment vertical="center" wrapText="1"/>
    </xf>
    <xf numFmtId="0" fontId="12" fillId="7" borderId="42" xfId="0" applyFont="1" applyFill="1" applyBorder="1" applyAlignment="1">
      <alignment horizontal="center" vertical="center" wrapText="1"/>
    </xf>
    <xf numFmtId="0" fontId="20" fillId="7" borderId="42" xfId="0" applyFont="1" applyFill="1" applyBorder="1" applyAlignment="1">
      <alignment horizontal="center" vertical="center" wrapText="1"/>
    </xf>
    <xf numFmtId="165" fontId="20" fillId="7" borderId="43" xfId="0" applyNumberFormat="1" applyFont="1" applyFill="1" applyBorder="1" applyAlignment="1">
      <alignment horizontal="center" vertical="center" wrapText="1"/>
    </xf>
    <xf numFmtId="0" fontId="5" fillId="0" borderId="19" xfId="0" applyFont="1" applyBorder="1" applyAlignment="1">
      <alignment vertical="top" wrapText="1"/>
    </xf>
    <xf numFmtId="0" fontId="19" fillId="7" borderId="0" xfId="0" applyFont="1" applyFill="1" applyAlignment="1">
      <alignment horizontal="center" vertical="center"/>
    </xf>
    <xf numFmtId="0" fontId="15" fillId="0" borderId="19" xfId="0" applyFont="1" applyBorder="1" applyAlignment="1">
      <alignment vertical="top" wrapText="1"/>
    </xf>
    <xf numFmtId="0" fontId="8" fillId="0" borderId="27" xfId="0" applyFont="1" applyBorder="1" applyAlignment="1">
      <alignment vertical="top" wrapText="1"/>
    </xf>
    <xf numFmtId="0" fontId="8" fillId="0" borderId="28" xfId="0" applyFont="1" applyBorder="1" applyAlignment="1">
      <alignment vertical="top" wrapText="1"/>
    </xf>
    <xf numFmtId="14" fontId="8" fillId="0" borderId="28" xfId="0" applyNumberFormat="1" applyFont="1" applyBorder="1" applyAlignment="1">
      <alignment vertical="top" wrapText="1"/>
    </xf>
    <xf numFmtId="0" fontId="7" fillId="0" borderId="28" xfId="0" applyFont="1" applyBorder="1" applyAlignment="1">
      <alignment vertical="top" wrapText="1"/>
    </xf>
    <xf numFmtId="0" fontId="8" fillId="3" borderId="28" xfId="0" applyFont="1" applyFill="1" applyBorder="1" applyAlignment="1">
      <alignment horizontal="center" vertical="top" wrapText="1"/>
    </xf>
    <xf numFmtId="0" fontId="8" fillId="0" borderId="29"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wrapText="1"/>
    </xf>
    <xf numFmtId="0" fontId="7" fillId="0" borderId="19" xfId="0" applyFont="1" applyBorder="1" applyAlignment="1">
      <alignment vertical="top" wrapText="1"/>
    </xf>
    <xf numFmtId="0" fontId="8" fillId="3" borderId="19" xfId="0" applyFont="1" applyFill="1" applyBorder="1" applyAlignment="1">
      <alignment horizontal="center" vertical="top" wrapText="1"/>
    </xf>
    <xf numFmtId="0" fontId="8" fillId="0" borderId="20"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wrapText="1"/>
    </xf>
    <xf numFmtId="0" fontId="7" fillId="0" borderId="25" xfId="0" applyFont="1" applyBorder="1" applyAlignment="1">
      <alignment vertical="top" wrapText="1"/>
    </xf>
    <xf numFmtId="0" fontId="8" fillId="3" borderId="25" xfId="0" applyFont="1" applyFill="1" applyBorder="1" applyAlignment="1">
      <alignment horizontal="center" vertical="top" wrapText="1"/>
    </xf>
    <xf numFmtId="0" fontId="8" fillId="0" borderId="26" xfId="0" applyFont="1" applyBorder="1" applyAlignment="1">
      <alignment vertical="top" wrapText="1"/>
    </xf>
    <xf numFmtId="0" fontId="17" fillId="0" borderId="28" xfId="0" applyFont="1" applyBorder="1" applyAlignment="1">
      <alignment vertical="top" wrapText="1"/>
    </xf>
    <xf numFmtId="0" fontId="17" fillId="0" borderId="19" xfId="0" applyFont="1" applyBorder="1" applyAlignment="1">
      <alignment vertical="top" wrapText="1"/>
    </xf>
    <xf numFmtId="0" fontId="17" fillId="0" borderId="25" xfId="0" applyFont="1" applyBorder="1" applyAlignment="1">
      <alignment vertical="top" wrapText="1"/>
    </xf>
    <xf numFmtId="0" fontId="12" fillId="0" borderId="28" xfId="0" applyFont="1" applyBorder="1" applyAlignment="1">
      <alignment horizontal="center" vertical="top" wrapText="1"/>
    </xf>
    <xf numFmtId="0" fontId="12" fillId="0" borderId="19" xfId="0" applyFont="1" applyBorder="1" applyAlignment="1">
      <alignment horizontal="center" vertical="top" wrapText="1"/>
    </xf>
    <xf numFmtId="0" fontId="12" fillId="0" borderId="25" xfId="0" applyFont="1" applyBorder="1" applyAlignment="1">
      <alignment horizontal="center" vertical="top" wrapText="1"/>
    </xf>
    <xf numFmtId="0" fontId="8" fillId="0" borderId="15" xfId="0" applyFont="1" applyBorder="1" applyAlignment="1">
      <alignment vertical="top" wrapText="1"/>
    </xf>
    <xf numFmtId="0" fontId="8" fillId="0" borderId="16" xfId="0" applyFont="1" applyBorder="1" applyAlignment="1">
      <alignment vertical="top" wrapText="1"/>
    </xf>
    <xf numFmtId="0" fontId="8" fillId="3" borderId="16" xfId="0" applyFont="1" applyFill="1" applyBorder="1" applyAlignment="1">
      <alignment horizontal="center" vertical="top" wrapText="1"/>
    </xf>
    <xf numFmtId="0" fontId="8" fillId="3" borderId="16" xfId="0" applyFont="1" applyFill="1" applyBorder="1" applyAlignment="1">
      <alignment vertical="top" wrapText="1"/>
    </xf>
    <xf numFmtId="0" fontId="8" fillId="0" borderId="17" xfId="0" applyFont="1" applyBorder="1" applyAlignment="1">
      <alignment vertical="top" wrapText="1"/>
    </xf>
    <xf numFmtId="0" fontId="8" fillId="3" borderId="19" xfId="0" applyFont="1" applyFill="1" applyBorder="1" applyAlignment="1">
      <alignment vertical="top" wrapText="1"/>
    </xf>
    <xf numFmtId="0" fontId="8" fillId="0" borderId="21" xfId="0" applyFont="1" applyBorder="1" applyAlignment="1">
      <alignment vertical="top" wrapText="1"/>
    </xf>
    <xf numFmtId="0" fontId="8" fillId="0" borderId="22" xfId="0" applyFont="1" applyBorder="1" applyAlignment="1">
      <alignment vertical="top" wrapText="1"/>
    </xf>
    <xf numFmtId="0" fontId="8" fillId="3" borderId="22" xfId="0" applyFont="1" applyFill="1" applyBorder="1" applyAlignment="1">
      <alignment horizontal="center" vertical="top" wrapText="1"/>
    </xf>
    <xf numFmtId="0" fontId="8" fillId="3" borderId="22" xfId="0" applyFont="1" applyFill="1" applyBorder="1" applyAlignment="1">
      <alignment vertical="top" wrapText="1"/>
    </xf>
    <xf numFmtId="0" fontId="8" fillId="0" borderId="23" xfId="0" applyFont="1" applyBorder="1" applyAlignment="1">
      <alignment vertical="top" wrapText="1"/>
    </xf>
    <xf numFmtId="0" fontId="12" fillId="0" borderId="16" xfId="0" applyFont="1" applyBorder="1" applyAlignment="1">
      <alignment horizontal="center" vertical="top" wrapText="1"/>
    </xf>
    <xf numFmtId="0" fontId="12" fillId="0" borderId="22" xfId="0" applyFont="1" applyBorder="1" applyAlignment="1">
      <alignment horizontal="center" vertical="top" wrapText="1"/>
    </xf>
    <xf numFmtId="164" fontId="8" fillId="3" borderId="19" xfId="0" applyNumberFormat="1"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0" borderId="22" xfId="0" applyFont="1" applyBorder="1" applyAlignment="1">
      <alignment vertical="center" wrapText="1"/>
    </xf>
    <xf numFmtId="164" fontId="8" fillId="3" borderId="22" xfId="0" applyNumberFormat="1" applyFont="1" applyFill="1" applyBorder="1" applyAlignment="1">
      <alignment horizontal="center" vertical="center" wrapText="1"/>
    </xf>
    <xf numFmtId="0" fontId="8" fillId="3" borderId="22" xfId="0" applyFont="1" applyFill="1" applyBorder="1" applyAlignment="1">
      <alignment horizontal="center" vertical="center" wrapText="1"/>
    </xf>
    <xf numFmtId="0" fontId="22" fillId="7" borderId="0" xfId="0" applyFont="1" applyFill="1" applyAlignment="1">
      <alignment vertical="center"/>
    </xf>
    <xf numFmtId="164" fontId="23" fillId="7" borderId="0" xfId="0" applyNumberFormat="1" applyFont="1" applyFill="1" applyAlignment="1">
      <alignment vertical="center"/>
    </xf>
    <xf numFmtId="0" fontId="24" fillId="7" borderId="0" xfId="0" applyFont="1" applyFill="1" applyAlignment="1">
      <alignment vertical="center"/>
    </xf>
    <xf numFmtId="165" fontId="24" fillId="7" borderId="0" xfId="0" applyNumberFormat="1" applyFont="1" applyFill="1" applyAlignment="1">
      <alignment vertical="center"/>
    </xf>
    <xf numFmtId="0" fontId="8" fillId="0" borderId="15" xfId="0" applyFont="1" applyBorder="1" applyAlignment="1">
      <alignment vertical="center" wrapText="1"/>
    </xf>
    <xf numFmtId="0" fontId="8" fillId="0" borderId="16" xfId="0" applyFont="1" applyBorder="1" applyAlignment="1">
      <alignment vertical="center" wrapText="1"/>
    </xf>
    <xf numFmtId="164" fontId="8" fillId="3" borderId="16" xfId="0" applyNumberFormat="1" applyFont="1" applyFill="1" applyBorder="1" applyAlignment="1">
      <alignment horizontal="center" vertical="center" wrapText="1"/>
    </xf>
    <xf numFmtId="0" fontId="8" fillId="3" borderId="16" xfId="0" applyFont="1" applyFill="1" applyBorder="1" applyAlignment="1">
      <alignment horizontal="center" vertical="center" wrapText="1"/>
    </xf>
    <xf numFmtId="0" fontId="8" fillId="0" borderId="17" xfId="0" applyFont="1" applyBorder="1" applyAlignment="1">
      <alignment vertical="center" wrapText="1"/>
    </xf>
    <xf numFmtId="0" fontId="12" fillId="3" borderId="18" xfId="0" applyFont="1" applyFill="1" applyBorder="1" applyAlignment="1">
      <alignment vertical="center" wrapText="1"/>
    </xf>
    <xf numFmtId="0" fontId="12" fillId="3" borderId="19" xfId="0" applyFont="1" applyFill="1" applyBorder="1" applyAlignment="1">
      <alignment vertical="center" wrapText="1"/>
    </xf>
    <xf numFmtId="164" fontId="12" fillId="3" borderId="19" xfId="0" applyNumberFormat="1"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2" fillId="3" borderId="20" xfId="0" applyFont="1" applyFill="1" applyBorder="1" applyAlignment="1">
      <alignment vertical="center" wrapText="1"/>
    </xf>
    <xf numFmtId="164" fontId="8" fillId="3" borderId="19" xfId="0" applyNumberFormat="1" applyFont="1" applyFill="1" applyBorder="1" applyAlignment="1">
      <alignment horizontal="center" vertical="top" wrapText="1"/>
    </xf>
    <xf numFmtId="164" fontId="8" fillId="3" borderId="25" xfId="0" applyNumberFormat="1" applyFont="1" applyFill="1" applyBorder="1" applyAlignment="1">
      <alignment horizontal="center" vertical="top" wrapText="1"/>
    </xf>
    <xf numFmtId="0" fontId="24" fillId="7" borderId="0" xfId="0" applyFont="1" applyFill="1" applyAlignment="1">
      <alignment horizontal="center" vertical="center"/>
    </xf>
    <xf numFmtId="165" fontId="24" fillId="7" borderId="0" xfId="0" applyNumberFormat="1" applyFont="1" applyFill="1" applyAlignment="1">
      <alignment horizontal="center" vertical="center"/>
    </xf>
    <xf numFmtId="0" fontId="8" fillId="3" borderId="16" xfId="0" applyFont="1" applyFill="1" applyBorder="1" applyAlignment="1">
      <alignment vertical="center" wrapText="1"/>
    </xf>
    <xf numFmtId="0" fontId="8" fillId="0" borderId="16" xfId="0" applyFont="1" applyBorder="1" applyAlignment="1">
      <alignment horizontal="center" vertical="center" wrapText="1"/>
    </xf>
    <xf numFmtId="0" fontId="8" fillId="3" borderId="19" xfId="0" applyFont="1" applyFill="1" applyBorder="1" applyAlignment="1">
      <alignment vertical="center" wrapText="1"/>
    </xf>
    <xf numFmtId="0" fontId="8" fillId="0" borderId="19" xfId="0" applyFont="1" applyBorder="1" applyAlignment="1">
      <alignment horizontal="center" vertical="center" wrapText="1"/>
    </xf>
    <xf numFmtId="0" fontId="8" fillId="3" borderId="22" xfId="0" applyFont="1" applyFill="1" applyBorder="1" applyAlignment="1">
      <alignment vertical="center" wrapText="1"/>
    </xf>
    <xf numFmtId="0" fontId="8" fillId="0" borderId="22" xfId="0" applyFont="1" applyBorder="1" applyAlignment="1">
      <alignment horizontal="center" vertical="center" wrapText="1"/>
    </xf>
    <xf numFmtId="0" fontId="27" fillId="0" borderId="27" xfId="0" applyFont="1" applyBorder="1" applyAlignment="1">
      <alignment horizontal="center" vertical="top" wrapText="1"/>
    </xf>
    <xf numFmtId="0" fontId="27" fillId="0" borderId="28" xfId="0" applyFont="1" applyBorder="1" applyAlignment="1">
      <alignment vertical="top" wrapText="1"/>
    </xf>
    <xf numFmtId="0" fontId="28" fillId="3" borderId="28" xfId="0" applyFont="1" applyFill="1" applyBorder="1" applyAlignment="1">
      <alignment horizontal="center" vertical="top" wrapText="1"/>
    </xf>
    <xf numFmtId="0" fontId="27" fillId="0" borderId="29" xfId="0" applyFont="1" applyBorder="1" applyAlignment="1">
      <alignment vertical="top" wrapText="1"/>
    </xf>
    <xf numFmtId="0" fontId="27" fillId="0" borderId="18" xfId="0" applyFont="1" applyBorder="1" applyAlignment="1">
      <alignment horizontal="center" vertical="top" wrapText="1"/>
    </xf>
    <xf numFmtId="0" fontId="27" fillId="0" borderId="19" xfId="0" applyFont="1" applyBorder="1" applyAlignment="1">
      <alignment vertical="top" wrapText="1"/>
    </xf>
    <xf numFmtId="0" fontId="28" fillId="3" borderId="19" xfId="0" applyFont="1" applyFill="1" applyBorder="1" applyAlignment="1">
      <alignment horizontal="center" vertical="top" wrapText="1"/>
    </xf>
    <xf numFmtId="0" fontId="27" fillId="0" borderId="20" xfId="0" applyFont="1" applyBorder="1" applyAlignment="1">
      <alignment vertical="top" wrapText="1"/>
    </xf>
    <xf numFmtId="0" fontId="12" fillId="0" borderId="19" xfId="0" applyFont="1" applyBorder="1" applyAlignment="1">
      <alignment vertical="center" wrapText="1"/>
    </xf>
    <xf numFmtId="0" fontId="12" fillId="0" borderId="20" xfId="0" applyFont="1" applyBorder="1" applyAlignment="1">
      <alignment vertical="center" wrapText="1"/>
    </xf>
    <xf numFmtId="0" fontId="29" fillId="0" borderId="28" xfId="0" applyFont="1" applyBorder="1" applyAlignment="1">
      <alignment vertical="top" wrapText="1"/>
    </xf>
    <xf numFmtId="0" fontId="30" fillId="3" borderId="28" xfId="0" applyFont="1" applyFill="1" applyBorder="1" applyAlignment="1">
      <alignment horizontal="center" vertical="top" wrapText="1"/>
    </xf>
    <xf numFmtId="0" fontId="31" fillId="0" borderId="28" xfId="0" applyFont="1" applyBorder="1" applyAlignment="1">
      <alignment horizontal="center" vertical="top" wrapText="1"/>
    </xf>
    <xf numFmtId="0" fontId="29" fillId="0" borderId="19" xfId="0" applyFont="1" applyBorder="1" applyAlignment="1">
      <alignment vertical="top" wrapText="1"/>
    </xf>
    <xf numFmtId="0" fontId="30" fillId="3" borderId="19" xfId="0" applyFont="1" applyFill="1" applyBorder="1" applyAlignment="1">
      <alignment horizontal="center" vertical="top" wrapText="1"/>
    </xf>
    <xf numFmtId="0" fontId="31" fillId="0" borderId="19" xfId="0" applyFont="1" applyBorder="1" applyAlignment="1">
      <alignment horizontal="center" vertical="top" wrapText="1"/>
    </xf>
    <xf numFmtId="0" fontId="30" fillId="2" borderId="19" xfId="0" applyFont="1" applyFill="1" applyBorder="1" applyAlignment="1">
      <alignment horizontal="center" vertical="top" wrapText="1"/>
    </xf>
    <xf numFmtId="0" fontId="29" fillId="7" borderId="41" xfId="0" applyFont="1" applyFill="1" applyBorder="1" applyAlignment="1">
      <alignment horizontal="center" vertical="top" wrapText="1"/>
    </xf>
    <xf numFmtId="0" fontId="29" fillId="7" borderId="42" xfId="0" applyFont="1" applyFill="1" applyBorder="1" applyAlignment="1">
      <alignment vertical="top" wrapText="1"/>
    </xf>
    <xf numFmtId="0" fontId="32" fillId="7" borderId="42" xfId="0" applyFont="1" applyFill="1" applyBorder="1" applyAlignment="1">
      <alignment horizontal="center" vertical="top" wrapText="1"/>
    </xf>
    <xf numFmtId="0" fontId="29" fillId="7" borderId="42" xfId="0" applyFont="1" applyFill="1" applyBorder="1" applyAlignment="1">
      <alignment horizontal="center" vertical="top" wrapText="1"/>
    </xf>
    <xf numFmtId="0" fontId="31" fillId="7" borderId="42" xfId="0" applyFont="1" applyFill="1" applyBorder="1" applyAlignment="1">
      <alignment horizontal="center" vertical="top" wrapText="1"/>
    </xf>
    <xf numFmtId="0" fontId="29" fillId="7" borderId="43" xfId="0" applyFont="1" applyFill="1" applyBorder="1" applyAlignment="1">
      <alignment vertical="top" wrapText="1"/>
    </xf>
    <xf numFmtId="164" fontId="8" fillId="3" borderId="15" xfId="0" applyNumberFormat="1" applyFont="1" applyFill="1" applyBorder="1" applyAlignment="1">
      <alignment horizontal="center" vertical="center"/>
    </xf>
    <xf numFmtId="166" fontId="8" fillId="3" borderId="16" xfId="0" applyNumberFormat="1" applyFont="1" applyFill="1" applyBorder="1" applyAlignment="1">
      <alignment horizontal="center" vertical="center"/>
    </xf>
    <xf numFmtId="0" fontId="8" fillId="3" borderId="16" xfId="0" applyFont="1" applyFill="1" applyBorder="1" applyAlignment="1">
      <alignment vertical="center"/>
    </xf>
    <xf numFmtId="0" fontId="8" fillId="3" borderId="16" xfId="0" applyFont="1" applyFill="1" applyBorder="1" applyAlignment="1">
      <alignment horizontal="center" vertical="center"/>
    </xf>
    <xf numFmtId="0" fontId="8" fillId="3" borderId="17" xfId="0" applyFont="1" applyFill="1" applyBorder="1" applyAlignment="1">
      <alignment vertical="center"/>
    </xf>
    <xf numFmtId="164" fontId="8" fillId="3" borderId="18" xfId="0" applyNumberFormat="1" applyFont="1" applyFill="1" applyBorder="1" applyAlignment="1">
      <alignment horizontal="center" vertical="center"/>
    </xf>
    <xf numFmtId="166" fontId="8" fillId="3" borderId="19" xfId="0" applyNumberFormat="1" applyFont="1" applyFill="1" applyBorder="1" applyAlignment="1">
      <alignment horizontal="center" vertical="center"/>
    </xf>
    <xf numFmtId="0" fontId="8" fillId="3" borderId="19" xfId="0" applyFont="1" applyFill="1" applyBorder="1" applyAlignment="1">
      <alignment vertical="center"/>
    </xf>
    <xf numFmtId="0" fontId="8" fillId="3" borderId="19" xfId="0" applyFont="1" applyFill="1" applyBorder="1" applyAlignment="1">
      <alignment horizontal="center" vertical="center"/>
    </xf>
    <xf numFmtId="0" fontId="8" fillId="3" borderId="20" xfId="0" applyFont="1" applyFill="1" applyBorder="1" applyAlignment="1">
      <alignment vertical="center"/>
    </xf>
    <xf numFmtId="164" fontId="8" fillId="3" borderId="24" xfId="0" applyNumberFormat="1" applyFont="1" applyFill="1" applyBorder="1" applyAlignment="1">
      <alignment horizontal="center" vertical="center"/>
    </xf>
    <xf numFmtId="166" fontId="8" fillId="3" borderId="25" xfId="0" applyNumberFormat="1" applyFont="1" applyFill="1" applyBorder="1" applyAlignment="1">
      <alignment horizontal="center" vertical="center"/>
    </xf>
    <xf numFmtId="0" fontId="8" fillId="3" borderId="25" xfId="0" applyFont="1" applyFill="1" applyBorder="1" applyAlignment="1">
      <alignment vertical="center"/>
    </xf>
    <xf numFmtId="0" fontId="8" fillId="3" borderId="25" xfId="0" applyFont="1" applyFill="1" applyBorder="1" applyAlignment="1">
      <alignment horizontal="center" vertical="center"/>
    </xf>
    <xf numFmtId="0" fontId="8" fillId="3" borderId="26" xfId="0" applyFont="1" applyFill="1" applyBorder="1" applyAlignment="1">
      <alignment vertical="center"/>
    </xf>
    <xf numFmtId="0" fontId="33" fillId="4" borderId="19" xfId="0" applyFont="1" applyFill="1" applyBorder="1" applyAlignment="1">
      <alignment vertical="center" wrapText="1"/>
    </xf>
    <xf numFmtId="0" fontId="33" fillId="4" borderId="19" xfId="0" applyFont="1" applyFill="1" applyBorder="1" applyAlignment="1">
      <alignment horizontal="center" vertical="center" wrapText="1"/>
    </xf>
    <xf numFmtId="0" fontId="33" fillId="4" borderId="20" xfId="0" applyFont="1" applyFill="1" applyBorder="1" applyAlignment="1">
      <alignment vertical="center" wrapText="1"/>
    </xf>
    <xf numFmtId="0" fontId="12" fillId="0" borderId="15" xfId="0" applyFont="1" applyBorder="1" applyAlignment="1">
      <alignment vertical="center" wrapText="1"/>
    </xf>
    <xf numFmtId="0" fontId="34" fillId="4" borderId="18" xfId="0" applyFont="1" applyFill="1" applyBorder="1" applyAlignment="1">
      <alignment vertical="center" wrapText="1"/>
    </xf>
    <xf numFmtId="0" fontId="8" fillId="3" borderId="20" xfId="0" applyFont="1" applyFill="1" applyBorder="1" applyAlignment="1">
      <alignment vertical="center" wrapText="1"/>
    </xf>
    <xf numFmtId="0" fontId="4" fillId="0" borderId="2" xfId="0" applyFont="1" applyBorder="1" applyAlignment="1">
      <alignment horizontal="center"/>
    </xf>
    <xf numFmtId="0" fontId="25" fillId="6" borderId="0" xfId="0" applyFont="1" applyFill="1" applyAlignment="1">
      <alignment vertical="center" wrapText="1"/>
    </xf>
    <xf numFmtId="0" fontId="36" fillId="0" borderId="10" xfId="0" applyFont="1" applyBorder="1" applyAlignment="1">
      <alignment horizontal="center" vertical="top" wrapText="1"/>
    </xf>
    <xf numFmtId="0" fontId="36" fillId="0" borderId="2" xfId="0" applyFont="1" applyBorder="1" applyAlignment="1">
      <alignment horizontal="center" vertical="top" wrapText="1"/>
    </xf>
    <xf numFmtId="0" fontId="36" fillId="0" borderId="2" xfId="0" applyFont="1" applyBorder="1" applyAlignment="1">
      <alignment horizontal="center" vertical="top"/>
    </xf>
    <xf numFmtId="0" fontId="36" fillId="0" borderId="0" xfId="0" applyFont="1" applyAlignment="1">
      <alignment horizontal="center" vertical="top"/>
    </xf>
    <xf numFmtId="0" fontId="4" fillId="0" borderId="0" xfId="0" applyFont="1" applyAlignment="1">
      <alignment horizontal="left"/>
    </xf>
    <xf numFmtId="0" fontId="4" fillId="0" borderId="3" xfId="0" applyFont="1" applyBorder="1"/>
    <xf numFmtId="0" fontId="4" fillId="0" borderId="9" xfId="0" applyFont="1" applyBorder="1"/>
    <xf numFmtId="0" fontId="4" fillId="0" borderId="10" xfId="0" applyFont="1" applyBorder="1"/>
    <xf numFmtId="0" fontId="4" fillId="0" borderId="2" xfId="0" applyFont="1" applyBorder="1"/>
    <xf numFmtId="0" fontId="36" fillId="0" borderId="3" xfId="0" applyFont="1" applyBorder="1"/>
    <xf numFmtId="0" fontId="35" fillId="0" borderId="3" xfId="0" applyFont="1" applyBorder="1"/>
    <xf numFmtId="0" fontId="4" fillId="0" borderId="1" xfId="0" applyFont="1" applyBorder="1" applyAlignment="1">
      <alignment vertical="center" wrapText="1"/>
    </xf>
    <xf numFmtId="0" fontId="4" fillId="2" borderId="1" xfId="0" applyFont="1" applyFill="1" applyBorder="1" applyAlignment="1">
      <alignment vertical="center" wrapText="1"/>
    </xf>
    <xf numFmtId="0" fontId="35" fillId="0" borderId="1" xfId="0" applyFont="1" applyBorder="1" applyAlignment="1">
      <alignment horizontal="center" vertical="center" wrapText="1"/>
    </xf>
    <xf numFmtId="0" fontId="35" fillId="0" borderId="1" xfId="0" applyFont="1" applyBorder="1" applyAlignment="1">
      <alignment vertical="center" wrapText="1"/>
    </xf>
    <xf numFmtId="0" fontId="35" fillId="2" borderId="1" xfId="0" applyFont="1" applyFill="1" applyBorder="1" applyAlignment="1">
      <alignment vertical="center" wrapText="1"/>
    </xf>
    <xf numFmtId="0" fontId="8" fillId="3" borderId="15" xfId="0" applyFont="1" applyFill="1" applyBorder="1" applyAlignment="1">
      <alignment vertical="center" wrapText="1"/>
    </xf>
    <xf numFmtId="0" fontId="8" fillId="3" borderId="17" xfId="0" applyFont="1" applyFill="1" applyBorder="1" applyAlignment="1">
      <alignment vertical="center" wrapText="1"/>
    </xf>
    <xf numFmtId="0" fontId="8" fillId="3" borderId="18" xfId="0" applyFont="1" applyFill="1" applyBorder="1" applyAlignment="1">
      <alignment vertical="center" wrapText="1"/>
    </xf>
    <xf numFmtId="0" fontId="8" fillId="3" borderId="21" xfId="0" applyFont="1" applyFill="1" applyBorder="1" applyAlignment="1">
      <alignment vertical="center" wrapText="1"/>
    </xf>
    <xf numFmtId="0" fontId="8" fillId="3" borderId="23" xfId="0" applyFont="1" applyFill="1" applyBorder="1" applyAlignment="1">
      <alignment vertical="center" wrapText="1"/>
    </xf>
    <xf numFmtId="0" fontId="17" fillId="4" borderId="16"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7" fillId="4" borderId="22" xfId="0" applyFont="1" applyFill="1" applyBorder="1" applyAlignment="1">
      <alignment horizontal="center" vertical="center" wrapText="1"/>
    </xf>
    <xf numFmtId="164" fontId="17" fillId="4" borderId="16" xfId="0" applyNumberFormat="1" applyFont="1" applyFill="1" applyBorder="1" applyAlignment="1">
      <alignment horizontal="center" vertical="center" wrapText="1"/>
    </xf>
    <xf numFmtId="164" fontId="17" fillId="4" borderId="19" xfId="0" applyNumberFormat="1" applyFont="1" applyFill="1" applyBorder="1" applyAlignment="1">
      <alignment horizontal="center" vertical="center" wrapText="1"/>
    </xf>
    <xf numFmtId="164" fontId="17" fillId="4" borderId="22" xfId="0" applyNumberFormat="1" applyFont="1" applyFill="1" applyBorder="1" applyAlignment="1">
      <alignment horizontal="center" vertical="center" wrapText="1"/>
    </xf>
    <xf numFmtId="0" fontId="8" fillId="0" borderId="27" xfId="0" applyFont="1" applyBorder="1" applyAlignment="1">
      <alignment horizontal="center" vertical="center" wrapText="1"/>
    </xf>
    <xf numFmtId="0" fontId="8" fillId="3" borderId="28" xfId="0" applyFont="1" applyFill="1" applyBorder="1" applyAlignment="1">
      <alignment horizontal="center" vertical="center" wrapText="1"/>
    </xf>
    <xf numFmtId="164" fontId="8" fillId="3" borderId="28" xfId="0" applyNumberFormat="1" applyFont="1" applyFill="1" applyBorder="1" applyAlignment="1">
      <alignment horizontal="center" vertical="center" wrapText="1"/>
    </xf>
    <xf numFmtId="0" fontId="8" fillId="0" borderId="18"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vertical="center" wrapText="1"/>
    </xf>
    <xf numFmtId="0" fontId="8" fillId="3" borderId="25" xfId="0" applyFont="1" applyFill="1" applyBorder="1" applyAlignment="1">
      <alignment horizontal="center" vertical="center" wrapText="1"/>
    </xf>
    <xf numFmtId="164" fontId="8" fillId="3" borderId="25" xfId="0" applyNumberFormat="1" applyFont="1" applyFill="1" applyBorder="1" applyAlignment="1">
      <alignment horizontal="center" vertical="center" wrapText="1"/>
    </xf>
    <xf numFmtId="0" fontId="8" fillId="0" borderId="26" xfId="0" applyFont="1" applyBorder="1" applyAlignment="1">
      <alignment vertical="center" wrapText="1"/>
    </xf>
    <xf numFmtId="0" fontId="37" fillId="3" borderId="0" xfId="0" applyFont="1" applyFill="1" applyAlignment="1">
      <alignment vertical="center"/>
    </xf>
    <xf numFmtId="0" fontId="15" fillId="0" borderId="0" xfId="0" applyFont="1" applyAlignment="1">
      <alignment vertical="center"/>
    </xf>
    <xf numFmtId="0" fontId="12" fillId="7" borderId="0" xfId="0" applyFont="1" applyFill="1" applyAlignment="1">
      <alignment horizontal="center" vertical="center"/>
    </xf>
    <xf numFmtId="0" fontId="20" fillId="7" borderId="0" xfId="0" applyFont="1" applyFill="1" applyAlignment="1">
      <alignment horizontal="center" vertical="center"/>
    </xf>
    <xf numFmtId="0" fontId="38" fillId="7" borderId="0" xfId="0" applyFont="1" applyFill="1" applyAlignment="1">
      <alignment horizontal="center" vertical="center" wrapText="1"/>
    </xf>
    <xf numFmtId="0" fontId="25" fillId="8" borderId="15" xfId="0" applyFont="1" applyFill="1" applyBorder="1" applyAlignment="1">
      <alignment vertical="center" wrapText="1"/>
    </xf>
    <xf numFmtId="0" fontId="25" fillId="8" borderId="16" xfId="0" applyFont="1" applyFill="1" applyBorder="1" applyAlignment="1">
      <alignment vertical="center" wrapText="1"/>
    </xf>
    <xf numFmtId="164" fontId="25" fillId="8" borderId="16" xfId="0" applyNumberFormat="1" applyFont="1" applyFill="1" applyBorder="1" applyAlignment="1">
      <alignment horizontal="center" vertical="center" wrapText="1"/>
    </xf>
    <xf numFmtId="0" fontId="25" fillId="8" borderId="16" xfId="0" applyFont="1" applyFill="1" applyBorder="1" applyAlignment="1">
      <alignment horizontal="center" vertical="center" wrapText="1"/>
    </xf>
    <xf numFmtId="0" fontId="25" fillId="8" borderId="17" xfId="0" applyFont="1" applyFill="1" applyBorder="1" applyAlignment="1">
      <alignment vertical="center" wrapText="1"/>
    </xf>
    <xf numFmtId="0" fontId="25" fillId="8" borderId="18" xfId="0" applyFont="1" applyFill="1" applyBorder="1" applyAlignment="1">
      <alignment vertical="center" wrapText="1"/>
    </xf>
    <xf numFmtId="0" fontId="25" fillId="8" borderId="19" xfId="0" applyFont="1" applyFill="1" applyBorder="1" applyAlignment="1">
      <alignment vertical="center" wrapText="1"/>
    </xf>
    <xf numFmtId="164" fontId="25" fillId="8" borderId="19" xfId="0" applyNumberFormat="1" applyFont="1" applyFill="1" applyBorder="1" applyAlignment="1">
      <alignment horizontal="center" vertical="center" wrapText="1"/>
    </xf>
    <xf numFmtId="0" fontId="25" fillId="8" borderId="19" xfId="0" applyFont="1" applyFill="1" applyBorder="1" applyAlignment="1">
      <alignment horizontal="center" vertical="center" wrapText="1"/>
    </xf>
    <xf numFmtId="0" fontId="25" fillId="8" borderId="20" xfId="0" applyFont="1" applyFill="1" applyBorder="1" applyAlignment="1">
      <alignment vertical="center" wrapText="1"/>
    </xf>
    <xf numFmtId="0" fontId="41" fillId="7" borderId="0" xfId="0" applyFont="1" applyFill="1" applyAlignment="1">
      <alignment vertical="center"/>
    </xf>
    <xf numFmtId="164" fontId="41" fillId="7" borderId="0" xfId="0" applyNumberFormat="1" applyFont="1" applyFill="1" applyAlignment="1">
      <alignment vertical="center"/>
    </xf>
    <xf numFmtId="0" fontId="41" fillId="7" borderId="0" xfId="0" applyFont="1" applyFill="1" applyAlignment="1">
      <alignment horizontal="center" vertical="center"/>
    </xf>
    <xf numFmtId="0" fontId="42" fillId="7" borderId="0" xfId="0" applyFont="1" applyFill="1" applyAlignment="1">
      <alignment vertical="center"/>
    </xf>
    <xf numFmtId="0" fontId="4" fillId="3" borderId="30" xfId="0" applyFont="1" applyFill="1" applyBorder="1"/>
    <xf numFmtId="0" fontId="4" fillId="3" borderId="31" xfId="0" applyFont="1" applyFill="1" applyBorder="1"/>
    <xf numFmtId="164" fontId="4" fillId="3" borderId="31" xfId="0" applyNumberFormat="1" applyFont="1" applyFill="1" applyBorder="1"/>
    <xf numFmtId="0" fontId="4" fillId="3" borderId="32" xfId="0" applyFont="1" applyFill="1" applyBorder="1"/>
    <xf numFmtId="0" fontId="15" fillId="0" borderId="0" xfId="0" applyFont="1" applyAlignment="1">
      <alignment vertical="center"/>
    </xf>
    <xf numFmtId="0" fontId="37" fillId="3" borderId="0" xfId="0" applyFont="1" applyFill="1" applyAlignment="1">
      <alignment vertical="center"/>
    </xf>
    <xf numFmtId="164" fontId="37" fillId="3" borderId="0" xfId="0" applyNumberFormat="1" applyFont="1" applyFill="1" applyAlignment="1">
      <alignment vertical="center"/>
    </xf>
    <xf numFmtId="0" fontId="13" fillId="8" borderId="0" xfId="0" applyFont="1" applyFill="1" applyAlignment="1">
      <alignment vertical="center"/>
    </xf>
    <xf numFmtId="165" fontId="20" fillId="7" borderId="0" xfId="0" applyNumberFormat="1" applyFont="1" applyFill="1" applyAlignment="1">
      <alignment horizontal="center" vertical="center"/>
    </xf>
    <xf numFmtId="165" fontId="12" fillId="7" borderId="0" xfId="0" applyNumberFormat="1" applyFont="1" applyFill="1" applyAlignment="1">
      <alignment horizontal="center" vertical="center"/>
    </xf>
    <xf numFmtId="0" fontId="25" fillId="8" borderId="0" xfId="0" applyFont="1" applyFill="1"/>
    <xf numFmtId="0" fontId="39" fillId="7" borderId="0" xfId="0" applyFont="1" applyFill="1"/>
    <xf numFmtId="0" fontId="42" fillId="7" borderId="0" xfId="0" applyFont="1" applyFill="1" applyAlignment="1">
      <alignment vertical="center"/>
    </xf>
    <xf numFmtId="0" fontId="20" fillId="0" borderId="0" xfId="0" applyFont="1" applyAlignment="1">
      <alignment vertical="center"/>
    </xf>
    <xf numFmtId="0" fontId="21" fillId="6" borderId="0" xfId="0" applyFont="1" applyFill="1" applyAlignment="1">
      <alignment vertical="center"/>
    </xf>
    <xf numFmtId="0" fontId="13" fillId="8" borderId="0" xfId="0" applyFont="1" applyFill="1" applyAlignment="1">
      <alignment vertical="center" wrapText="1"/>
    </xf>
    <xf numFmtId="0" fontId="14" fillId="8" borderId="0" xfId="0" applyFont="1" applyFill="1" applyAlignment="1">
      <alignment vertical="center" wrapText="1"/>
    </xf>
    <xf numFmtId="0" fontId="9" fillId="6" borderId="0" xfId="0" applyFont="1" applyFill="1" applyAlignment="1">
      <alignment vertical="center"/>
    </xf>
    <xf numFmtId="0" fontId="10" fillId="7" borderId="0" xfId="0" applyFont="1" applyFill="1" applyAlignment="1">
      <alignment vertical="center"/>
    </xf>
    <xf numFmtId="0" fontId="40" fillId="7" borderId="0" xfId="0" applyFont="1" applyFill="1" applyAlignment="1">
      <alignment vertical="center"/>
    </xf>
    <xf numFmtId="0" fontId="11" fillId="8" borderId="0" xfId="0" applyFont="1" applyFill="1" applyAlignment="1">
      <alignment vertical="center"/>
    </xf>
    <xf numFmtId="0" fontId="18" fillId="6" borderId="0" xfId="0" applyFont="1" applyFill="1" applyAlignment="1">
      <alignment vertical="center"/>
    </xf>
    <xf numFmtId="0" fontId="6" fillId="0" borderId="0" xfId="0" applyFont="1" applyAlignment="1">
      <alignment vertical="center" wrapText="1"/>
    </xf>
    <xf numFmtId="0" fontId="4" fillId="4" borderId="37" xfId="0" applyFont="1" applyFill="1" applyBorder="1"/>
    <xf numFmtId="0" fontId="4" fillId="4" borderId="36" xfId="0" applyFont="1" applyFill="1" applyBorder="1"/>
    <xf numFmtId="0" fontId="4" fillId="4" borderId="38" xfId="0" applyFont="1" applyFill="1" applyBorder="1"/>
    <xf numFmtId="0" fontId="4" fillId="4" borderId="39" xfId="0" applyFont="1" applyFill="1" applyBorder="1"/>
    <xf numFmtId="0" fontId="4" fillId="4" borderId="0" xfId="0" applyFont="1" applyFill="1"/>
    <xf numFmtId="0" fontId="4" fillId="4" borderId="40" xfId="0" applyFont="1" applyFill="1" applyBorder="1"/>
    <xf numFmtId="0" fontId="8" fillId="4" borderId="45" xfId="0" applyFont="1" applyFill="1" applyBorder="1" applyAlignment="1">
      <alignment vertical="center" wrapText="1"/>
    </xf>
    <xf numFmtId="0" fontId="6" fillId="0" borderId="0" xfId="0" applyFont="1"/>
    <xf numFmtId="0" fontId="25" fillId="8" borderId="14" xfId="0" applyFont="1" applyFill="1" applyBorder="1" applyAlignment="1">
      <alignment vertical="center"/>
    </xf>
    <xf numFmtId="0" fontId="26" fillId="3" borderId="0" xfId="0" applyFont="1" applyFill="1" applyAlignment="1">
      <alignment vertical="center" wrapText="1"/>
    </xf>
    <xf numFmtId="0" fontId="25" fillId="8" borderId="47" xfId="0" applyFont="1" applyFill="1" applyBorder="1" applyAlignment="1">
      <alignment vertical="center"/>
    </xf>
    <xf numFmtId="0" fontId="26" fillId="0" borderId="0" xfId="0" applyFont="1" applyAlignment="1">
      <alignment vertical="center" wrapText="1"/>
    </xf>
    <xf numFmtId="0" fontId="35" fillId="0" borderId="2" xfId="0" applyFont="1" applyBorder="1" applyAlignment="1">
      <alignment horizontal="center"/>
    </xf>
    <xf numFmtId="0" fontId="4" fillId="0" borderId="2" xfId="0" applyFont="1" applyBorder="1" applyAlignment="1">
      <alignment horizontal="left"/>
    </xf>
    <xf numFmtId="0" fontId="4" fillId="0" borderId="10" xfId="0" applyFont="1" applyBorder="1" applyAlignment="1">
      <alignment horizontal="left" wrapText="1"/>
    </xf>
    <xf numFmtId="0" fontId="4" fillId="0" borderId="2" xfId="0" applyFont="1" applyBorder="1" applyAlignment="1">
      <alignment horizontal="left" wrapText="1"/>
    </xf>
    <xf numFmtId="0" fontId="4"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4" xfId="0" applyFont="1" applyBorder="1" applyAlignment="1">
      <alignment horizontal="left" wrapText="1"/>
    </xf>
    <xf numFmtId="0" fontId="4" fillId="0" borderId="5" xfId="0" applyFont="1" applyBorder="1" applyAlignment="1">
      <alignment horizontal="left" wrapText="1"/>
    </xf>
    <xf numFmtId="0" fontId="4" fillId="0" borderId="6" xfId="0" applyFont="1" applyBorder="1" applyAlignment="1">
      <alignment horizontal="left" wrapText="1"/>
    </xf>
    <xf numFmtId="0" fontId="4" fillId="0" borderId="7" xfId="0" applyFont="1" applyBorder="1" applyAlignment="1">
      <alignment horizontal="left" wrapText="1"/>
    </xf>
    <xf numFmtId="0" fontId="4" fillId="0" borderId="0" xfId="0" applyFont="1" applyAlignment="1">
      <alignment horizontal="left" wrapText="1"/>
    </xf>
    <xf numFmtId="0" fontId="4" fillId="0" borderId="8" xfId="0" applyFont="1" applyBorder="1" applyAlignment="1">
      <alignment horizontal="left" wrapText="1"/>
    </xf>
    <xf numFmtId="0" fontId="21" fillId="6" borderId="0" xfId="0" applyFont="1" applyFill="1" applyAlignment="1">
      <alignment horizontal="left" vertical="center"/>
    </xf>
  </cellXfs>
  <cellStyles count="1">
    <cellStyle name="Normal" xfId="0" builtinId="0"/>
  </cellStyles>
  <dxfs count="151">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404040"/>
      </font>
      <fill>
        <patternFill patternType="solid">
          <fgColor indexed="64"/>
          <bgColor rgb="FFF2F2F2"/>
        </patternFill>
      </fill>
    </dxf>
    <dxf>
      <font>
        <color rgb="FFFFFFFF"/>
      </font>
      <fill>
        <patternFill patternType="solid">
          <fgColor indexed="64"/>
          <bgColor rgb="FF00A499"/>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6500"/>
      </font>
      <fill>
        <patternFill patternType="solid">
          <fgColor indexed="64"/>
          <bgColor rgb="FFFFEB9C"/>
        </patternFill>
      </fill>
    </dxf>
    <dxf>
      <font>
        <color rgb="FF1F4E79"/>
      </font>
      <fill>
        <patternFill patternType="solid">
          <fgColor indexed="64"/>
          <bgColor rgb="FFDDEBF7"/>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404040"/>
      </font>
      <fill>
        <patternFill patternType="solid">
          <fgColor indexed="64"/>
          <bgColor rgb="FFF2F2F2"/>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404040"/>
      </font>
      <fill>
        <patternFill patternType="solid">
          <fgColor indexed="64"/>
          <bgColor rgb="FFF2F2F2"/>
        </patternFill>
      </fill>
    </dxf>
    <dxf>
      <font>
        <color rgb="FF1F4E79"/>
      </font>
      <fill>
        <patternFill patternType="solid">
          <fgColor indexed="64"/>
          <bgColor rgb="FFDDEBF7"/>
        </patternFill>
      </fill>
    </dxf>
    <dxf>
      <font>
        <color rgb="FFFFFFFF"/>
      </font>
      <fill>
        <patternFill patternType="solid">
          <fgColor indexed="64"/>
          <bgColor rgb="FF00A499"/>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FF00"/>
        </patternFill>
      </fill>
    </dxf>
    <dxf>
      <font>
        <color rgb="FF404040"/>
      </font>
      <fill>
        <patternFill patternType="solid">
          <fgColor indexed="64"/>
          <bgColor rgb="FFF2F2F2"/>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1F4E79"/>
      </font>
      <fill>
        <patternFill patternType="solid">
          <fgColor indexed="64"/>
          <bgColor rgb="FFDDEBF7"/>
        </patternFill>
      </fill>
    </dxf>
    <dxf>
      <font>
        <color rgb="FF1F4E79"/>
      </font>
      <fill>
        <patternFill patternType="solid">
          <fgColor indexed="64"/>
          <bgColor rgb="FFDDEBF7"/>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1F4E79"/>
      </font>
      <fill>
        <patternFill patternType="solid">
          <fgColor indexed="64"/>
          <bgColor rgb="FFDDEBF7"/>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FFFFFF"/>
      </font>
      <fill>
        <patternFill patternType="solid">
          <fgColor indexed="64"/>
          <bgColor rgb="FFC00000"/>
        </patternFill>
      </fill>
    </dxf>
    <dxf>
      <font>
        <color rgb="FFFFFFFF"/>
      </font>
      <fill>
        <patternFill patternType="solid">
          <fgColor indexed="64"/>
          <bgColor rgb="FF00A499"/>
        </patternFill>
      </fill>
    </dxf>
    <dxf>
      <font>
        <color rgb="FF000000"/>
      </font>
      <fill>
        <patternFill patternType="solid">
          <fgColor indexed="64"/>
          <bgColor rgb="FFFFC000"/>
        </patternFill>
      </fill>
    </dxf>
    <dxf>
      <font>
        <color rgb="FFFFFFFF"/>
      </font>
      <fill>
        <patternFill patternType="solid">
          <fgColor indexed="64"/>
          <bgColor rgb="FFED7D31"/>
        </patternFill>
      </fill>
    </dxf>
    <dxf>
      <font>
        <color rgb="FFFFFFFF"/>
      </font>
      <fill>
        <patternFill patternType="solid">
          <fgColor indexed="64"/>
          <bgColor rgb="FFC00000"/>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FFFFFF"/>
      </font>
      <fill>
        <patternFill patternType="solid">
          <fgColor indexed="64"/>
          <bgColor rgb="FF00A499"/>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A7CD22-4860-6D42-8232-A9F7053A38C5}">
  <we:reference id="29673e3c-d826-4f00-92ee-162334a52b1a" version="1.0.0.8" store="EXCatalog" storeType="EXCatalog"/>
  <we:alternateReferences>
    <we:reference id="WA200009404" version="1.0.0.8" store="en-US" storeType="OMEX"/>
  </we:alternateReferences>
  <we:properties>
    <we:property name="claude.fileId" value="&quot;dd876dc4-7c2b-4b6f-8111-a04ecd115cd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3F734-2DC8-6446-B2FB-46CDAD5821C5}">
  <dimension ref="A1:C64"/>
  <sheetViews>
    <sheetView topLeftCell="A18" workbookViewId="0">
      <selection sqref="A1:C1"/>
    </sheetView>
  </sheetViews>
  <sheetFormatPr baseColWidth="10" defaultColWidth="11" defaultRowHeight="16" x14ac:dyDescent="0.2"/>
  <cols>
    <col min="1" max="1" width="38.33203125" style="3" customWidth="1"/>
    <col min="2" max="2" width="86.6640625" style="3" customWidth="1"/>
    <col min="3" max="3" width="55" style="3" customWidth="1"/>
  </cols>
  <sheetData>
    <row r="1" spans="1:3" ht="40" customHeight="1" x14ac:dyDescent="0.2">
      <c r="A1" s="252" t="s">
        <v>0</v>
      </c>
      <c r="B1" s="252"/>
      <c r="C1" s="252"/>
    </row>
    <row r="2" spans="1:3" ht="26" customHeight="1" x14ac:dyDescent="0.2">
      <c r="A2" s="253" t="s">
        <v>1</v>
      </c>
      <c r="B2" s="253"/>
      <c r="C2" s="253"/>
    </row>
    <row r="3" spans="1:3" ht="22" customHeight="1" x14ac:dyDescent="0.2">
      <c r="A3" s="254" t="s">
        <v>2</v>
      </c>
      <c r="B3" s="254"/>
      <c r="C3" s="254"/>
    </row>
    <row r="4" spans="1:3" x14ac:dyDescent="0.2">
      <c r="A4" s="4"/>
      <c r="B4" s="4"/>
      <c r="C4" s="4"/>
    </row>
    <row r="5" spans="1:3" ht="22" customHeight="1" x14ac:dyDescent="0.2">
      <c r="A5" s="255" t="s">
        <v>3</v>
      </c>
      <c r="B5" s="255"/>
      <c r="C5" s="255"/>
    </row>
    <row r="6" spans="1:3" x14ac:dyDescent="0.2">
      <c r="A6" s="19" t="s">
        <v>4</v>
      </c>
      <c r="B6" s="5" t="s">
        <v>5</v>
      </c>
      <c r="C6" s="6"/>
    </row>
    <row r="7" spans="1:3" x14ac:dyDescent="0.2">
      <c r="A7" s="20" t="s">
        <v>6</v>
      </c>
      <c r="B7" s="7" t="s">
        <v>7</v>
      </c>
      <c r="C7" s="8"/>
    </row>
    <row r="8" spans="1:3" ht="26" x14ac:dyDescent="0.2">
      <c r="A8" s="20" t="s">
        <v>8</v>
      </c>
      <c r="B8" s="7" t="s">
        <v>9</v>
      </c>
      <c r="C8" s="8"/>
    </row>
    <row r="9" spans="1:3" ht="26" x14ac:dyDescent="0.2">
      <c r="A9" s="20" t="s">
        <v>10</v>
      </c>
      <c r="B9" s="7" t="s">
        <v>11</v>
      </c>
      <c r="C9" s="8" t="s">
        <v>12</v>
      </c>
    </row>
    <row r="10" spans="1:3" x14ac:dyDescent="0.2">
      <c r="A10" s="20" t="s">
        <v>13</v>
      </c>
      <c r="B10" s="7" t="s">
        <v>14</v>
      </c>
      <c r="C10" s="8"/>
    </row>
    <row r="11" spans="1:3" x14ac:dyDescent="0.2">
      <c r="A11" s="20" t="s">
        <v>15</v>
      </c>
      <c r="B11" s="7" t="s">
        <v>16</v>
      </c>
      <c r="C11" s="8"/>
    </row>
    <row r="12" spans="1:3" x14ac:dyDescent="0.2">
      <c r="A12" s="20" t="s">
        <v>17</v>
      </c>
      <c r="B12" s="7" t="s">
        <v>18</v>
      </c>
      <c r="C12" s="8"/>
    </row>
    <row r="13" spans="1:3" x14ac:dyDescent="0.2">
      <c r="A13" s="20" t="s">
        <v>19</v>
      </c>
      <c r="B13" s="7" t="s">
        <v>20</v>
      </c>
      <c r="C13" s="8"/>
    </row>
    <row r="14" spans="1:3" x14ac:dyDescent="0.2">
      <c r="A14" s="20" t="s">
        <v>21</v>
      </c>
      <c r="B14" s="7" t="s">
        <v>22</v>
      </c>
      <c r="C14" s="8"/>
    </row>
    <row r="15" spans="1:3" x14ac:dyDescent="0.2">
      <c r="A15" s="20" t="s">
        <v>23</v>
      </c>
      <c r="B15" s="7" t="s">
        <v>24</v>
      </c>
      <c r="C15" s="8"/>
    </row>
    <row r="16" spans="1:3" x14ac:dyDescent="0.2">
      <c r="A16" s="20" t="s">
        <v>25</v>
      </c>
      <c r="B16" s="9">
        <v>46377</v>
      </c>
      <c r="C16" s="8"/>
    </row>
    <row r="17" spans="1:3" x14ac:dyDescent="0.2">
      <c r="A17" s="20" t="s">
        <v>26</v>
      </c>
      <c r="B17" s="10"/>
      <c r="C17" s="8"/>
    </row>
    <row r="18" spans="1:3" x14ac:dyDescent="0.2">
      <c r="A18" s="21" t="s">
        <v>27</v>
      </c>
      <c r="B18" s="11"/>
      <c r="C18" s="12"/>
    </row>
    <row r="19" spans="1:3" x14ac:dyDescent="0.2">
      <c r="A19" s="19"/>
      <c r="B19" s="13"/>
      <c r="C19" s="6"/>
    </row>
    <row r="20" spans="1:3" ht="22" customHeight="1" x14ac:dyDescent="0.2">
      <c r="A20" s="250" t="s">
        <v>28</v>
      </c>
      <c r="B20" s="250"/>
      <c r="C20" s="251"/>
    </row>
    <row r="21" spans="1:3" ht="26" x14ac:dyDescent="0.2">
      <c r="A21" s="22" t="s">
        <v>29</v>
      </c>
      <c r="B21" s="22" t="s">
        <v>30</v>
      </c>
      <c r="C21" s="14" t="s">
        <v>31</v>
      </c>
    </row>
    <row r="22" spans="1:3" ht="26" x14ac:dyDescent="0.2">
      <c r="A22" s="23" t="s">
        <v>32</v>
      </c>
      <c r="B22" s="23" t="s">
        <v>33</v>
      </c>
      <c r="C22" s="15" t="s">
        <v>34</v>
      </c>
    </row>
    <row r="23" spans="1:3" ht="26" x14ac:dyDescent="0.2">
      <c r="A23" s="23" t="s">
        <v>35</v>
      </c>
      <c r="B23" s="23" t="s">
        <v>36</v>
      </c>
      <c r="C23" s="15" t="s">
        <v>37</v>
      </c>
    </row>
    <row r="24" spans="1:3" ht="39" x14ac:dyDescent="0.2">
      <c r="A24" s="23" t="s">
        <v>38</v>
      </c>
      <c r="B24" s="23" t="s">
        <v>39</v>
      </c>
      <c r="C24" s="15" t="s">
        <v>40</v>
      </c>
    </row>
    <row r="25" spans="1:3" x14ac:dyDescent="0.2">
      <c r="A25" s="19" t="s">
        <v>41</v>
      </c>
      <c r="B25" s="13" t="s">
        <v>42</v>
      </c>
      <c r="C25" s="6" t="s">
        <v>43</v>
      </c>
    </row>
    <row r="26" spans="1:3" x14ac:dyDescent="0.2">
      <c r="A26" s="20" t="s">
        <v>44</v>
      </c>
      <c r="B26" s="16" t="s">
        <v>45</v>
      </c>
      <c r="C26" s="8" t="s">
        <v>46</v>
      </c>
    </row>
    <row r="27" spans="1:3" ht="26" x14ac:dyDescent="0.2">
      <c r="A27" s="20" t="s">
        <v>47</v>
      </c>
      <c r="B27" s="17" t="s">
        <v>48</v>
      </c>
      <c r="C27" s="8" t="s">
        <v>49</v>
      </c>
    </row>
    <row r="28" spans="1:3" x14ac:dyDescent="0.2">
      <c r="A28" s="20" t="s">
        <v>50</v>
      </c>
      <c r="B28" s="10"/>
      <c r="C28" s="8" t="s">
        <v>51</v>
      </c>
    </row>
    <row r="29" spans="1:3" x14ac:dyDescent="0.2">
      <c r="A29" s="20" t="s">
        <v>52</v>
      </c>
      <c r="B29" s="10"/>
      <c r="C29" s="8" t="s">
        <v>53</v>
      </c>
    </row>
    <row r="30" spans="1:3" ht="26" x14ac:dyDescent="0.2">
      <c r="A30" s="21" t="s">
        <v>54</v>
      </c>
      <c r="B30" s="18" t="s">
        <v>55</v>
      </c>
      <c r="C30" s="12" t="s">
        <v>56</v>
      </c>
    </row>
    <row r="31" spans="1:3" x14ac:dyDescent="0.2">
      <c r="A31" s="19"/>
      <c r="B31" s="13"/>
      <c r="C31" s="6"/>
    </row>
    <row r="32" spans="1:3" ht="22" customHeight="1" x14ac:dyDescent="0.2">
      <c r="A32" s="250" t="s">
        <v>57</v>
      </c>
      <c r="B32" s="250"/>
      <c r="C32" s="251"/>
    </row>
    <row r="33" spans="1:3" x14ac:dyDescent="0.2">
      <c r="A33" s="19">
        <v>1</v>
      </c>
      <c r="B33" s="13" t="s">
        <v>58</v>
      </c>
      <c r="C33" s="6" t="s">
        <v>59</v>
      </c>
    </row>
    <row r="34" spans="1:3" x14ac:dyDescent="0.2">
      <c r="A34" s="20">
        <v>2</v>
      </c>
      <c r="B34" s="16" t="s">
        <v>60</v>
      </c>
      <c r="C34" s="8" t="s">
        <v>61</v>
      </c>
    </row>
    <row r="35" spans="1:3" x14ac:dyDescent="0.2">
      <c r="A35" s="20">
        <v>3</v>
      </c>
      <c r="B35" s="16" t="s">
        <v>62</v>
      </c>
      <c r="C35" s="8" t="s">
        <v>63</v>
      </c>
    </row>
    <row r="36" spans="1:3" x14ac:dyDescent="0.2">
      <c r="A36" s="20">
        <v>4</v>
      </c>
      <c r="B36" s="16" t="s">
        <v>64</v>
      </c>
      <c r="C36" s="8" t="s">
        <v>65</v>
      </c>
    </row>
    <row r="37" spans="1:3" x14ac:dyDescent="0.2">
      <c r="A37" s="20">
        <v>5</v>
      </c>
      <c r="B37" s="16" t="s">
        <v>66</v>
      </c>
      <c r="C37" s="8" t="s">
        <v>67</v>
      </c>
    </row>
    <row r="38" spans="1:3" x14ac:dyDescent="0.2">
      <c r="A38" s="21">
        <v>6</v>
      </c>
      <c r="B38" s="18" t="s">
        <v>68</v>
      </c>
      <c r="C38" s="12" t="s">
        <v>69</v>
      </c>
    </row>
    <row r="39" spans="1:3" x14ac:dyDescent="0.2">
      <c r="A39" s="19"/>
      <c r="B39" s="13"/>
      <c r="C39" s="6"/>
    </row>
    <row r="40" spans="1:3" ht="22" customHeight="1" x14ac:dyDescent="0.2">
      <c r="A40" s="250" t="s">
        <v>70</v>
      </c>
      <c r="B40" s="250"/>
      <c r="C40" s="251"/>
    </row>
    <row r="41" spans="1:3" x14ac:dyDescent="0.2">
      <c r="A41" s="19" t="s">
        <v>71</v>
      </c>
      <c r="B41" s="13" t="s">
        <v>72</v>
      </c>
      <c r="C41" s="6" t="s">
        <v>73</v>
      </c>
    </row>
    <row r="42" spans="1:3" ht="26" x14ac:dyDescent="0.2">
      <c r="A42" s="20" t="s">
        <v>74</v>
      </c>
      <c r="B42" s="16" t="s">
        <v>75</v>
      </c>
      <c r="C42" s="8" t="s">
        <v>76</v>
      </c>
    </row>
    <row r="43" spans="1:3" ht="26" x14ac:dyDescent="0.2">
      <c r="A43" s="20" t="s">
        <v>77</v>
      </c>
      <c r="B43" s="16" t="s">
        <v>78</v>
      </c>
      <c r="C43" s="8" t="s">
        <v>79</v>
      </c>
    </row>
    <row r="44" spans="1:3" ht="26" x14ac:dyDescent="0.2">
      <c r="A44" s="20" t="s">
        <v>80</v>
      </c>
      <c r="B44" s="16" t="s">
        <v>81</v>
      </c>
      <c r="C44" s="8" t="s">
        <v>82</v>
      </c>
    </row>
    <row r="45" spans="1:3" x14ac:dyDescent="0.2">
      <c r="A45" s="20" t="s">
        <v>83</v>
      </c>
      <c r="B45" s="16" t="s">
        <v>84</v>
      </c>
      <c r="C45" s="8" t="s">
        <v>85</v>
      </c>
    </row>
    <row r="46" spans="1:3" x14ac:dyDescent="0.2">
      <c r="A46" s="20" t="s">
        <v>86</v>
      </c>
      <c r="B46" s="16" t="s">
        <v>87</v>
      </c>
      <c r="C46" s="8" t="s">
        <v>88</v>
      </c>
    </row>
    <row r="47" spans="1:3" x14ac:dyDescent="0.2">
      <c r="A47" s="21" t="s">
        <v>89</v>
      </c>
      <c r="B47" s="18" t="s">
        <v>90</v>
      </c>
      <c r="C47" s="12" t="s">
        <v>91</v>
      </c>
    </row>
    <row r="48" spans="1:3" ht="22" customHeight="1" x14ac:dyDescent="0.2">
      <c r="A48" s="250"/>
      <c r="B48" s="250"/>
      <c r="C48" s="251"/>
    </row>
    <row r="49" spans="1:3" x14ac:dyDescent="0.2">
      <c r="A49" s="24" t="s">
        <v>92</v>
      </c>
      <c r="B49" s="13"/>
      <c r="C49" s="6"/>
    </row>
    <row r="50" spans="1:3" x14ac:dyDescent="0.2">
      <c r="A50" s="25" t="s">
        <v>93</v>
      </c>
      <c r="B50" s="16" t="s">
        <v>94</v>
      </c>
      <c r="C50" s="8"/>
    </row>
    <row r="51" spans="1:3" x14ac:dyDescent="0.2">
      <c r="A51" s="25" t="s">
        <v>95</v>
      </c>
      <c r="B51" s="16" t="s">
        <v>96</v>
      </c>
      <c r="C51" s="8"/>
    </row>
    <row r="52" spans="1:3" x14ac:dyDescent="0.2">
      <c r="A52" s="25" t="s">
        <v>97</v>
      </c>
      <c r="B52" s="16" t="s">
        <v>98</v>
      </c>
      <c r="C52" s="8"/>
    </row>
    <row r="53" spans="1:3" x14ac:dyDescent="0.2">
      <c r="A53" s="25" t="s">
        <v>99</v>
      </c>
      <c r="B53" s="16" t="s">
        <v>100</v>
      </c>
      <c r="C53" s="8"/>
    </row>
    <row r="54" spans="1:3" x14ac:dyDescent="0.2">
      <c r="A54" s="25" t="s">
        <v>101</v>
      </c>
      <c r="B54" s="16" t="s">
        <v>102</v>
      </c>
      <c r="C54" s="8"/>
    </row>
    <row r="55" spans="1:3" x14ac:dyDescent="0.2">
      <c r="A55" s="25" t="s">
        <v>103</v>
      </c>
      <c r="B55" s="16" t="s">
        <v>104</v>
      </c>
      <c r="C55" s="8"/>
    </row>
    <row r="56" spans="1:3" x14ac:dyDescent="0.2">
      <c r="A56" s="25" t="s">
        <v>105</v>
      </c>
      <c r="B56" s="16" t="s">
        <v>106</v>
      </c>
      <c r="C56" s="8" t="s">
        <v>107</v>
      </c>
    </row>
    <row r="57" spans="1:3" x14ac:dyDescent="0.2">
      <c r="A57" s="25" t="s">
        <v>108</v>
      </c>
      <c r="B57" s="16" t="s">
        <v>109</v>
      </c>
      <c r="C57" s="8"/>
    </row>
    <row r="58" spans="1:3" x14ac:dyDescent="0.2">
      <c r="A58" s="25" t="s">
        <v>110</v>
      </c>
      <c r="B58" s="16" t="s">
        <v>111</v>
      </c>
      <c r="C58" s="8"/>
    </row>
    <row r="59" spans="1:3" x14ac:dyDescent="0.2">
      <c r="A59" s="25" t="s">
        <v>112</v>
      </c>
      <c r="B59" s="16" t="s">
        <v>113</v>
      </c>
      <c r="C59" s="8"/>
    </row>
    <row r="60" spans="1:3" x14ac:dyDescent="0.2">
      <c r="A60" s="25" t="s">
        <v>114</v>
      </c>
      <c r="B60" s="16" t="s">
        <v>115</v>
      </c>
      <c r="C60" s="8"/>
    </row>
    <row r="61" spans="1:3" x14ac:dyDescent="0.2">
      <c r="A61" s="25" t="s">
        <v>116</v>
      </c>
      <c r="B61" s="16" t="s">
        <v>117</v>
      </c>
      <c r="C61" s="8"/>
    </row>
    <row r="62" spans="1:3" x14ac:dyDescent="0.2">
      <c r="A62" s="25" t="s">
        <v>118</v>
      </c>
      <c r="B62" s="16" t="s">
        <v>119</v>
      </c>
      <c r="C62" s="8"/>
    </row>
    <row r="63" spans="1:3" x14ac:dyDescent="0.2">
      <c r="A63" s="26" t="s">
        <v>120</v>
      </c>
      <c r="B63" s="18" t="s">
        <v>121</v>
      </c>
      <c r="C63" s="12"/>
    </row>
    <row r="64" spans="1:3" ht="26" x14ac:dyDescent="0.2">
      <c r="A64" s="26" t="s">
        <v>122</v>
      </c>
      <c r="B64" s="18" t="s">
        <v>123</v>
      </c>
      <c r="C64" s="12"/>
    </row>
  </sheetData>
  <mergeCells count="8">
    <mergeCell ref="A40:C40"/>
    <mergeCell ref="A48:C48"/>
    <mergeCell ref="A1:C1"/>
    <mergeCell ref="A2:C2"/>
    <mergeCell ref="A3:C3"/>
    <mergeCell ref="A5:C5"/>
    <mergeCell ref="A20:C20"/>
    <mergeCell ref="A32:C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1139-433E-184A-9F9C-F10A3ABA3E3E}">
  <dimension ref="A1:G59"/>
  <sheetViews>
    <sheetView workbookViewId="0">
      <selection activeCell="D12" sqref="D12"/>
    </sheetView>
  </sheetViews>
  <sheetFormatPr baseColWidth="10" defaultColWidth="11" defaultRowHeight="16" x14ac:dyDescent="0.2"/>
  <cols>
    <col min="1" max="1" width="55" style="3" customWidth="1"/>
    <col min="2" max="2" width="16.6640625" style="3" customWidth="1"/>
    <col min="3" max="5" width="20" style="3" customWidth="1"/>
    <col min="6" max="6" width="16.6640625" style="3" customWidth="1"/>
    <col min="7" max="7" width="66.6640625" style="3" customWidth="1"/>
  </cols>
  <sheetData>
    <row r="1" spans="1:7" ht="34" customHeight="1" x14ac:dyDescent="0.2">
      <c r="A1" s="256" t="s">
        <v>124</v>
      </c>
      <c r="B1" s="256"/>
      <c r="C1" s="256"/>
      <c r="D1" s="256"/>
      <c r="E1" s="256"/>
      <c r="F1" s="256"/>
      <c r="G1" s="256"/>
    </row>
    <row r="2" spans="1:7" ht="28" customHeight="1" x14ac:dyDescent="0.2">
      <c r="A2" s="257" t="s">
        <v>125</v>
      </c>
      <c r="B2" s="257"/>
      <c r="C2" s="257"/>
      <c r="D2" s="257"/>
      <c r="E2" s="257"/>
      <c r="F2" s="257"/>
      <c r="G2" s="257"/>
    </row>
    <row r="3" spans="1:7" x14ac:dyDescent="0.2">
      <c r="A3" s="4"/>
      <c r="B3" s="4"/>
      <c r="C3" s="4"/>
      <c r="D3" s="4"/>
      <c r="E3" s="4"/>
      <c r="F3" s="4"/>
      <c r="G3" s="4"/>
    </row>
    <row r="4" spans="1:7" ht="22" customHeight="1" x14ac:dyDescent="0.2">
      <c r="A4" s="255" t="s">
        <v>126</v>
      </c>
      <c r="B4" s="255"/>
      <c r="C4" s="255"/>
      <c r="D4" s="255"/>
      <c r="E4" s="255"/>
      <c r="F4" s="255"/>
      <c r="G4" s="255"/>
    </row>
    <row r="5" spans="1:7" ht="32" customHeight="1" x14ac:dyDescent="0.2">
      <c r="A5" s="47" t="s">
        <v>127</v>
      </c>
      <c r="B5" s="48" t="s">
        <v>128</v>
      </c>
      <c r="C5" s="48" t="s">
        <v>129</v>
      </c>
      <c r="D5" s="48" t="s">
        <v>130</v>
      </c>
      <c r="E5" s="48" t="s">
        <v>131</v>
      </c>
      <c r="F5" s="48" t="s">
        <v>132</v>
      </c>
      <c r="G5" s="48" t="s">
        <v>133</v>
      </c>
    </row>
    <row r="6" spans="1:7" x14ac:dyDescent="0.2">
      <c r="A6" s="49" t="s">
        <v>134</v>
      </c>
      <c r="B6" s="37">
        <f>'Path to TCO'!E4</f>
        <v>46</v>
      </c>
      <c r="C6" s="37">
        <f>'Path to TCO'!G4</f>
        <v>0</v>
      </c>
      <c r="D6" s="37">
        <f>'Path to TCO'!I4</f>
        <v>46</v>
      </c>
      <c r="E6" s="37">
        <f>COUNTIF('Path to TCO'!I9:I70,"Blocked")</f>
        <v>0</v>
      </c>
      <c r="F6" s="38">
        <f>'Path to TCO'!K4</f>
        <v>0</v>
      </c>
      <c r="G6" s="27" t="s">
        <v>135</v>
      </c>
    </row>
    <row r="7" spans="1:7" x14ac:dyDescent="0.2">
      <c r="A7" s="50" t="s">
        <v>136</v>
      </c>
      <c r="B7" s="39">
        <f>COUNTA('Path to Fire Alarm'!A8:A30)</f>
        <v>23</v>
      </c>
      <c r="C7" s="39">
        <f>COUNTIF('Path to Fire Alarm'!H8:H30,"Complete")</f>
        <v>0</v>
      </c>
      <c r="D7" s="39">
        <f>B7-C7</f>
        <v>23</v>
      </c>
      <c r="E7" s="39">
        <f>COUNTIF('Path to Fire Alarm'!H8:H30,"Failed - Re-test")+COUNTIF('Path to Fire Alarm'!H8:H30,"Blocked")</f>
        <v>0</v>
      </c>
      <c r="F7" s="40">
        <f t="shared" ref="F7:F14" si="0">IF(B7=0,0,C7/B7)</f>
        <v>0</v>
      </c>
      <c r="G7" s="28" t="s">
        <v>137</v>
      </c>
    </row>
    <row r="8" spans="1:7" x14ac:dyDescent="0.2">
      <c r="A8" s="50" t="s">
        <v>138</v>
      </c>
      <c r="B8" s="39">
        <f>'Statutory Inspections'!B4</f>
        <v>24</v>
      </c>
      <c r="C8" s="39">
        <f>COUNTIF('Statutory Inspections'!M7:M40,"Closed")</f>
        <v>0</v>
      </c>
      <c r="D8" s="39">
        <f>B8-C8</f>
        <v>24</v>
      </c>
      <c r="E8" s="39">
        <f>'Statutory Inspections'!F4</f>
        <v>0</v>
      </c>
      <c r="F8" s="40">
        <f t="shared" si="0"/>
        <v>0</v>
      </c>
      <c r="G8" s="28" t="s">
        <v>139</v>
      </c>
    </row>
    <row r="9" spans="1:7" x14ac:dyDescent="0.2">
      <c r="A9" s="50" t="s">
        <v>140</v>
      </c>
      <c r="B9" s="39">
        <f>'Special Inspections'!B4</f>
        <v>36</v>
      </c>
      <c r="C9" s="39">
        <f>COUNTIF('Special Inspections'!P7:P45,"Closed")</f>
        <v>0</v>
      </c>
      <c r="D9" s="39">
        <f>B9-C9</f>
        <v>36</v>
      </c>
      <c r="E9" s="39">
        <f>'Special Inspections'!F4</f>
        <v>0</v>
      </c>
      <c r="F9" s="40">
        <f t="shared" si="0"/>
        <v>0</v>
      </c>
      <c r="G9" s="28" t="s">
        <v>141</v>
      </c>
    </row>
    <row r="10" spans="1:7" x14ac:dyDescent="0.2">
      <c r="A10" s="50" t="s">
        <v>142</v>
      </c>
      <c r="B10" s="39">
        <f>COUNTA(ITP!A5:A35)</f>
        <v>31</v>
      </c>
      <c r="C10" s="39">
        <f>COUNTIF(ITP!L5:L35,"Pass")</f>
        <v>0</v>
      </c>
      <c r="D10" s="39">
        <f>B10-C10</f>
        <v>31</v>
      </c>
      <c r="E10" s="39">
        <f>COUNTIF(ITP!L5:L35,"Fail")</f>
        <v>0</v>
      </c>
      <c r="F10" s="40">
        <f t="shared" si="0"/>
        <v>0</v>
      </c>
      <c r="G10" s="28" t="s">
        <v>143</v>
      </c>
    </row>
    <row r="11" spans="1:7" x14ac:dyDescent="0.2">
      <c r="A11" s="50" t="s">
        <v>144</v>
      </c>
      <c r="B11" s="39">
        <f>Commissioning!B4</f>
        <v>38</v>
      </c>
      <c r="C11" s="39">
        <f>COUNTIF(Commissioning!P7:P50,"Accepted")</f>
        <v>0</v>
      </c>
      <c r="D11" s="39">
        <f>B11-C11</f>
        <v>38</v>
      </c>
      <c r="E11" s="39">
        <f>COUNTIF(Commissioning!J7:J50,"Fail")</f>
        <v>0</v>
      </c>
      <c r="F11" s="40">
        <f t="shared" si="0"/>
        <v>0</v>
      </c>
      <c r="G11" s="28" t="s">
        <v>145</v>
      </c>
    </row>
    <row r="12" spans="1:7" x14ac:dyDescent="0.2">
      <c r="A12" s="50" t="s">
        <v>146</v>
      </c>
      <c r="B12" s="39">
        <f>'Submittals &amp; Mockups'!B4</f>
        <v>39</v>
      </c>
      <c r="C12" s="39">
        <f>'Submittals &amp; Mockups'!D4</f>
        <v>0</v>
      </c>
      <c r="D12" s="39">
        <f>'Submittals &amp; Mockups'!I4</f>
        <v>39</v>
      </c>
      <c r="E12" s="39">
        <f>'Submittals &amp; Mockups'!G4</f>
        <v>0</v>
      </c>
      <c r="F12" s="40">
        <f t="shared" si="0"/>
        <v>0</v>
      </c>
      <c r="G12" s="28" t="s">
        <v>147</v>
      </c>
    </row>
    <row r="13" spans="1:7" x14ac:dyDescent="0.2">
      <c r="A13" s="50" t="s">
        <v>148</v>
      </c>
      <c r="B13" s="39">
        <f>COUNTA('DFOW Risk Register'!A5:A36)</f>
        <v>32</v>
      </c>
      <c r="C13" s="39">
        <f>COUNTIF('DFOW Risk Register'!P5:P36,"Complete")</f>
        <v>0</v>
      </c>
      <c r="D13" s="39">
        <f>B13-C13</f>
        <v>32</v>
      </c>
      <c r="E13" s="39">
        <v>0</v>
      </c>
      <c r="F13" s="40">
        <f t="shared" si="0"/>
        <v>0</v>
      </c>
      <c r="G13" s="28" t="s">
        <v>149</v>
      </c>
    </row>
    <row r="14" spans="1:7" x14ac:dyDescent="0.2">
      <c r="A14" s="51" t="s">
        <v>150</v>
      </c>
      <c r="B14" s="41">
        <f>$D$59</f>
        <v>625</v>
      </c>
      <c r="C14" s="41">
        <f>$E$59</f>
        <v>0</v>
      </c>
      <c r="D14" s="41">
        <f>B14-C14</f>
        <v>625</v>
      </c>
      <c r="E14" s="41">
        <f>$F$59</f>
        <v>0</v>
      </c>
      <c r="F14" s="42">
        <f t="shared" si="0"/>
        <v>0</v>
      </c>
      <c r="G14" s="29" t="s">
        <v>151</v>
      </c>
    </row>
    <row r="15" spans="1:7" ht="26" x14ac:dyDescent="0.2">
      <c r="A15" s="52" t="s">
        <v>152</v>
      </c>
      <c r="B15" s="43">
        <f>'DOH Checklist'!B4</f>
        <v>101</v>
      </c>
      <c r="C15" s="43">
        <f>'DOH Checklist'!D4</f>
        <v>0</v>
      </c>
      <c r="D15" s="43">
        <f>'DOH Checklist'!F4</f>
        <v>101</v>
      </c>
      <c r="E15" s="43">
        <f>COUNTIF('DOH Checklist'!F7:F130,"Query Raised")</f>
        <v>0</v>
      </c>
      <c r="F15" s="44">
        <f>'DOH Checklist'!J4</f>
        <v>0</v>
      </c>
      <c r="G15" s="30" t="s">
        <v>153</v>
      </c>
    </row>
    <row r="16" spans="1:7" ht="22" customHeight="1" x14ac:dyDescent="0.2">
      <c r="A16" s="255" t="s">
        <v>154</v>
      </c>
      <c r="B16" s="255"/>
      <c r="C16" s="255"/>
      <c r="D16" s="255"/>
      <c r="E16" s="255"/>
      <c r="F16" s="255"/>
      <c r="G16" s="255"/>
    </row>
    <row r="17" spans="1:7" ht="32" customHeight="1" x14ac:dyDescent="0.2">
      <c r="A17" s="47" t="s">
        <v>155</v>
      </c>
      <c r="B17" s="48" t="s">
        <v>156</v>
      </c>
      <c r="C17" s="48"/>
      <c r="D17" s="48"/>
      <c r="E17" s="48"/>
      <c r="F17" s="48"/>
      <c r="G17" s="48" t="s">
        <v>157</v>
      </c>
    </row>
    <row r="18" spans="1:7" x14ac:dyDescent="0.2">
      <c r="A18" s="31" t="s">
        <v>25</v>
      </c>
      <c r="B18" s="53">
        <f>'Path to TCO'!C4</f>
        <v>46377</v>
      </c>
      <c r="C18" s="258"/>
      <c r="D18" s="259"/>
      <c r="E18" s="259"/>
      <c r="F18" s="260"/>
      <c r="G18" s="27" t="s">
        <v>158</v>
      </c>
    </row>
    <row r="19" spans="1:7" x14ac:dyDescent="0.2">
      <c r="A19" s="32" t="s">
        <v>159</v>
      </c>
      <c r="B19" s="54">
        <f ca="1">B18-TODAY()</f>
        <v>129</v>
      </c>
      <c r="C19" s="261"/>
      <c r="D19" s="262"/>
      <c r="E19" s="262"/>
      <c r="F19" s="263"/>
      <c r="G19" s="28" t="s">
        <v>160</v>
      </c>
    </row>
    <row r="20" spans="1:7" x14ac:dyDescent="0.2">
      <c r="A20" s="32" t="s">
        <v>161</v>
      </c>
      <c r="B20" s="55">
        <f>'Path to Fire Alarm'!H4</f>
        <v>46363</v>
      </c>
      <c r="C20" s="261"/>
      <c r="D20" s="262"/>
      <c r="E20" s="262"/>
      <c r="F20" s="263"/>
      <c r="G20" s="28" t="s">
        <v>162</v>
      </c>
    </row>
    <row r="21" spans="1:7" x14ac:dyDescent="0.2">
      <c r="A21" s="32" t="s">
        <v>163</v>
      </c>
      <c r="B21" s="56">
        <f>'Path to TCO'!K4</f>
        <v>0</v>
      </c>
      <c r="C21" s="261"/>
      <c r="D21" s="262"/>
      <c r="E21" s="262"/>
      <c r="F21" s="263"/>
      <c r="G21" s="28" t="s">
        <v>164</v>
      </c>
    </row>
    <row r="22" spans="1:7" x14ac:dyDescent="0.2">
      <c r="A22" s="32" t="s">
        <v>165</v>
      </c>
      <c r="B22" s="54">
        <f>'NCR Log'!D4</f>
        <v>0</v>
      </c>
      <c r="C22" s="261"/>
      <c r="D22" s="262"/>
      <c r="E22" s="262"/>
      <c r="F22" s="263"/>
      <c r="G22" s="28" t="s">
        <v>166</v>
      </c>
    </row>
    <row r="23" spans="1:7" x14ac:dyDescent="0.2">
      <c r="A23" s="32" t="s">
        <v>167</v>
      </c>
      <c r="B23" s="54">
        <f ca="1">'NCR Log'!H4</f>
        <v>0</v>
      </c>
      <c r="C23" s="261"/>
      <c r="D23" s="262"/>
      <c r="E23" s="262"/>
      <c r="F23" s="263"/>
      <c r="G23" s="28" t="s">
        <v>168</v>
      </c>
    </row>
    <row r="24" spans="1:7" x14ac:dyDescent="0.2">
      <c r="A24" s="32" t="s">
        <v>169</v>
      </c>
      <c r="B24" s="57" t="str">
        <f>'NCR Log'!K4</f>
        <v>—</v>
      </c>
      <c r="C24" s="261"/>
      <c r="D24" s="262"/>
      <c r="E24" s="262"/>
      <c r="F24" s="263"/>
      <c r="G24" s="28" t="s">
        <v>170</v>
      </c>
    </row>
    <row r="25" spans="1:7" x14ac:dyDescent="0.2">
      <c r="A25" s="32" t="s">
        <v>171</v>
      </c>
      <c r="B25" s="54">
        <f>'Punch &amp; RCL Log'!D4</f>
        <v>0</v>
      </c>
      <c r="C25" s="261"/>
      <c r="D25" s="262"/>
      <c r="E25" s="262"/>
      <c r="F25" s="263"/>
      <c r="G25" s="28" t="s">
        <v>172</v>
      </c>
    </row>
    <row r="26" spans="1:7" x14ac:dyDescent="0.2">
      <c r="A26" s="32" t="s">
        <v>173</v>
      </c>
      <c r="B26" s="54">
        <f>'Punch &amp; RCL Log'!I4</f>
        <v>0</v>
      </c>
      <c r="C26" s="261"/>
      <c r="D26" s="262"/>
      <c r="E26" s="262"/>
      <c r="F26" s="263"/>
      <c r="G26" s="28" t="s">
        <v>174</v>
      </c>
    </row>
    <row r="27" spans="1:7" x14ac:dyDescent="0.2">
      <c r="A27" s="32" t="s">
        <v>175</v>
      </c>
      <c r="B27" s="54">
        <f ca="1">'Punch &amp; RCL Log'!L4</f>
        <v>0</v>
      </c>
      <c r="C27" s="261"/>
      <c r="D27" s="262"/>
      <c r="E27" s="262"/>
      <c r="F27" s="263"/>
      <c r="G27" s="28" t="s">
        <v>176</v>
      </c>
    </row>
    <row r="28" spans="1:7" x14ac:dyDescent="0.2">
      <c r="A28" s="32" t="s">
        <v>177</v>
      </c>
      <c r="B28" s="54">
        <f>COUNTA('Inspector Sign-In'!A5:A120)</f>
        <v>0</v>
      </c>
      <c r="C28" s="261"/>
      <c r="D28" s="262"/>
      <c r="E28" s="262"/>
      <c r="F28" s="263"/>
      <c r="G28" s="28" t="s">
        <v>178</v>
      </c>
    </row>
    <row r="29" spans="1:7" x14ac:dyDescent="0.2">
      <c r="A29" s="33" t="s">
        <v>179</v>
      </c>
      <c r="B29" s="58">
        <f>COUNTIF('DFOW Risk Register'!C5:C36,4)+COUNTIF('DFOW Risk Register'!C5:C36,3)</f>
        <v>17</v>
      </c>
      <c r="C29" s="261"/>
      <c r="D29" s="262"/>
      <c r="E29" s="262"/>
      <c r="F29" s="263"/>
      <c r="G29" s="29" t="s">
        <v>180</v>
      </c>
    </row>
    <row r="30" spans="1:7" ht="26" x14ac:dyDescent="0.2">
      <c r="A30" s="34" t="s">
        <v>181</v>
      </c>
      <c r="B30" s="59">
        <f>'Special Inspections'!G60</f>
        <v>12</v>
      </c>
      <c r="C30" s="264"/>
      <c r="D30" s="264"/>
      <c r="E30" s="264"/>
      <c r="F30" s="264"/>
      <c r="G30" s="30" t="s">
        <v>182</v>
      </c>
    </row>
    <row r="31" spans="1:7" ht="22" customHeight="1" x14ac:dyDescent="0.2">
      <c r="A31" s="255" t="s">
        <v>183</v>
      </c>
      <c r="B31" s="255"/>
      <c r="C31" s="255"/>
      <c r="D31" s="255"/>
      <c r="E31" s="255"/>
      <c r="F31" s="255"/>
      <c r="G31" s="255"/>
    </row>
    <row r="32" spans="1:7" ht="32" customHeight="1" x14ac:dyDescent="0.2">
      <c r="A32" s="47" t="s">
        <v>184</v>
      </c>
      <c r="B32" s="48" t="s">
        <v>185</v>
      </c>
      <c r="C32" s="48" t="s">
        <v>186</v>
      </c>
      <c r="D32" s="48" t="s">
        <v>187</v>
      </c>
      <c r="E32" s="48" t="s">
        <v>188</v>
      </c>
      <c r="F32" s="48" t="s">
        <v>189</v>
      </c>
      <c r="G32" s="48" t="s">
        <v>132</v>
      </c>
    </row>
    <row r="33" spans="1:7" x14ac:dyDescent="0.2">
      <c r="A33" s="31" t="s">
        <v>190</v>
      </c>
      <c r="B33" s="35" t="s">
        <v>191</v>
      </c>
      <c r="C33" s="60">
        <v>3</v>
      </c>
      <c r="D33" s="37">
        <f>Excavation!D6</f>
        <v>19</v>
      </c>
      <c r="E33" s="37">
        <f>Excavation!F6</f>
        <v>0</v>
      </c>
      <c r="F33" s="37">
        <f>Excavation!H6</f>
        <v>0</v>
      </c>
      <c r="G33" s="45">
        <f>IF($D33=0,0,Excavation!J6)</f>
        <v>0</v>
      </c>
    </row>
    <row r="34" spans="1:7" x14ac:dyDescent="0.2">
      <c r="A34" s="32" t="s">
        <v>192</v>
      </c>
      <c r="B34" s="36" t="s">
        <v>193</v>
      </c>
      <c r="C34" s="61">
        <v>3</v>
      </c>
      <c r="D34" s="39">
        <f>'Concrete Formwork'!D6</f>
        <v>25</v>
      </c>
      <c r="E34" s="39">
        <f>'Concrete Formwork'!F6</f>
        <v>0</v>
      </c>
      <c r="F34" s="39">
        <f>'Concrete Formwork'!H6</f>
        <v>0</v>
      </c>
      <c r="G34" s="46">
        <f>IF($D34=0,0,'Concrete Formwork'!J6)</f>
        <v>0</v>
      </c>
    </row>
    <row r="35" spans="1:7" x14ac:dyDescent="0.2">
      <c r="A35" s="32" t="s">
        <v>194</v>
      </c>
      <c r="B35" s="36" t="s">
        <v>193</v>
      </c>
      <c r="C35" s="61">
        <v>3</v>
      </c>
      <c r="D35" s="39">
        <f>'Conc Reinforcement'!D6</f>
        <v>26</v>
      </c>
      <c r="E35" s="39">
        <f>'Conc Reinforcement'!F6</f>
        <v>0</v>
      </c>
      <c r="F35" s="39">
        <f>'Conc Reinforcement'!H6</f>
        <v>0</v>
      </c>
      <c r="G35" s="46">
        <f>IF($D35=0,0,'Conc Reinforcement'!J6)</f>
        <v>0</v>
      </c>
    </row>
    <row r="36" spans="1:7" x14ac:dyDescent="0.2">
      <c r="A36" s="32" t="s">
        <v>195</v>
      </c>
      <c r="B36" s="36" t="s">
        <v>193</v>
      </c>
      <c r="C36" s="61">
        <v>3</v>
      </c>
      <c r="D36" s="39">
        <f>'CIP Concrete'!D6</f>
        <v>28</v>
      </c>
      <c r="E36" s="39">
        <f>'CIP Concrete'!F6</f>
        <v>0</v>
      </c>
      <c r="F36" s="39">
        <f>'CIP Concrete'!H6</f>
        <v>0</v>
      </c>
      <c r="G36" s="46">
        <f>IF($D36=0,0,'CIP Concrete'!J6)</f>
        <v>0</v>
      </c>
    </row>
    <row r="37" spans="1:7" x14ac:dyDescent="0.2">
      <c r="A37" s="32" t="s">
        <v>196</v>
      </c>
      <c r="B37" s="36" t="s">
        <v>193</v>
      </c>
      <c r="C37" s="61">
        <v>3</v>
      </c>
      <c r="D37" s="39">
        <f>'Precast Concrete'!D6</f>
        <v>21</v>
      </c>
      <c r="E37" s="39">
        <f>'Precast Concrete'!F6</f>
        <v>0</v>
      </c>
      <c r="F37" s="39">
        <f>'Precast Concrete'!H6</f>
        <v>0</v>
      </c>
      <c r="G37" s="46">
        <f>IF($D37=0,0,'Precast Concrete'!J6)</f>
        <v>0</v>
      </c>
    </row>
    <row r="38" spans="1:7" x14ac:dyDescent="0.2">
      <c r="A38" s="32" t="s">
        <v>197</v>
      </c>
      <c r="B38" s="36" t="s">
        <v>198</v>
      </c>
      <c r="C38" s="61">
        <v>2</v>
      </c>
      <c r="D38" s="39">
        <f>'Unit Masonry'!D6</f>
        <v>31</v>
      </c>
      <c r="E38" s="39">
        <f>'Unit Masonry'!F6</f>
        <v>0</v>
      </c>
      <c r="F38" s="39">
        <f>'Unit Masonry'!H6</f>
        <v>0</v>
      </c>
      <c r="G38" s="46">
        <f>IF($D38=0,0,'Unit Masonry'!J6)</f>
        <v>0</v>
      </c>
    </row>
    <row r="39" spans="1:7" x14ac:dyDescent="0.2">
      <c r="A39" s="32" t="s">
        <v>199</v>
      </c>
      <c r="B39" s="36" t="s">
        <v>200</v>
      </c>
      <c r="C39" s="61">
        <v>2</v>
      </c>
      <c r="D39" s="39">
        <f>'Metal Deck'!D6</f>
        <v>30</v>
      </c>
      <c r="E39" s="39">
        <f>'Metal Deck'!F6</f>
        <v>0</v>
      </c>
      <c r="F39" s="39">
        <f>'Metal Deck'!H6</f>
        <v>0</v>
      </c>
      <c r="G39" s="46">
        <f>IF($D39=0,0,'Metal Deck'!J6)</f>
        <v>0</v>
      </c>
    </row>
    <row r="40" spans="1:7" x14ac:dyDescent="0.2">
      <c r="A40" s="32" t="s">
        <v>201</v>
      </c>
      <c r="B40" s="36" t="s">
        <v>193</v>
      </c>
      <c r="C40" s="61">
        <v>3</v>
      </c>
      <c r="D40" s="39">
        <f>'Slab on Grade'!D6</f>
        <v>19</v>
      </c>
      <c r="E40" s="39">
        <f>'Slab on Grade'!F6</f>
        <v>0</v>
      </c>
      <c r="F40" s="39">
        <f>'Slab on Grade'!H6</f>
        <v>0</v>
      </c>
      <c r="G40" s="46">
        <f>IF($D40=0,0,'Slab on Grade'!J6)</f>
        <v>0</v>
      </c>
    </row>
    <row r="41" spans="1:7" x14ac:dyDescent="0.2">
      <c r="A41" s="32" t="s">
        <v>202</v>
      </c>
      <c r="B41" s="36" t="s">
        <v>193</v>
      </c>
      <c r="C41" s="61">
        <v>3</v>
      </c>
      <c r="D41" s="39">
        <f>'Slab on Deck'!D6</f>
        <v>13</v>
      </c>
      <c r="E41" s="39">
        <f>'Slab on Deck'!F6</f>
        <v>0</v>
      </c>
      <c r="F41" s="39">
        <f>'Slab on Deck'!H6</f>
        <v>0</v>
      </c>
      <c r="G41" s="46">
        <f>IF($D41=0,0,'Slab on Deck'!J6)</f>
        <v>0</v>
      </c>
    </row>
    <row r="42" spans="1:7" x14ac:dyDescent="0.2">
      <c r="A42" s="32" t="s">
        <v>203</v>
      </c>
      <c r="B42" s="36" t="s">
        <v>204</v>
      </c>
      <c r="C42" s="61">
        <v>4</v>
      </c>
      <c r="D42" s="39">
        <f>Waterproofing!D6</f>
        <v>27</v>
      </c>
      <c r="E42" s="39">
        <f>Waterproofing!F6</f>
        <v>0</v>
      </c>
      <c r="F42" s="39">
        <f>Waterproofing!H6</f>
        <v>0</v>
      </c>
      <c r="G42" s="46">
        <f>IF($D42=0,0,Waterproofing!J6)</f>
        <v>0</v>
      </c>
    </row>
    <row r="43" spans="1:7" x14ac:dyDescent="0.2">
      <c r="A43" s="32" t="s">
        <v>205</v>
      </c>
      <c r="B43" s="36" t="s">
        <v>200</v>
      </c>
      <c r="C43" s="61">
        <v>2</v>
      </c>
      <c r="D43" s="39">
        <f>'Drywall Framing'!D6</f>
        <v>28</v>
      </c>
      <c r="E43" s="39">
        <f>'Drywall Framing'!F6</f>
        <v>0</v>
      </c>
      <c r="F43" s="39">
        <f>'Drywall Framing'!H6</f>
        <v>0</v>
      </c>
      <c r="G43" s="46">
        <f>IF($D43=0,0,'Drywall Framing'!J6)</f>
        <v>0</v>
      </c>
    </row>
    <row r="44" spans="1:7" x14ac:dyDescent="0.2">
      <c r="A44" s="32" t="s">
        <v>206</v>
      </c>
      <c r="B44" s="36" t="s">
        <v>207</v>
      </c>
      <c r="C44" s="61">
        <v>2</v>
      </c>
      <c r="D44" s="39">
        <f>'Drywall Board'!D6</f>
        <v>28</v>
      </c>
      <c r="E44" s="39">
        <f>'Drywall Board'!F6</f>
        <v>0</v>
      </c>
      <c r="F44" s="39">
        <f>'Drywall Board'!H6</f>
        <v>0</v>
      </c>
      <c r="G44" s="46">
        <f>IF($D44=0,0,'Drywall Board'!J6)</f>
        <v>0</v>
      </c>
    </row>
    <row r="45" spans="1:7" x14ac:dyDescent="0.2">
      <c r="A45" s="32" t="s">
        <v>208</v>
      </c>
      <c r="B45" s="36" t="s">
        <v>209</v>
      </c>
      <c r="C45" s="61">
        <v>3</v>
      </c>
      <c r="D45" s="39">
        <f>Firestopping!D6</f>
        <v>22</v>
      </c>
      <c r="E45" s="39">
        <f>Firestopping!F6</f>
        <v>0</v>
      </c>
      <c r="F45" s="39">
        <f>Firestopping!H6</f>
        <v>0</v>
      </c>
      <c r="G45" s="46">
        <f>IF($D45=0,0,Firestopping!J6)</f>
        <v>0</v>
      </c>
    </row>
    <row r="46" spans="1:7" x14ac:dyDescent="0.2">
      <c r="A46" s="32" t="s">
        <v>210</v>
      </c>
      <c r="B46" s="36" t="s">
        <v>211</v>
      </c>
      <c r="C46" s="61">
        <v>2</v>
      </c>
      <c r="D46" s="39">
        <f>'Metal Frames'!D6</f>
        <v>17</v>
      </c>
      <c r="E46" s="39">
        <f>'Metal Frames'!F6</f>
        <v>0</v>
      </c>
      <c r="F46" s="39">
        <f>'Metal Frames'!H6</f>
        <v>0</v>
      </c>
      <c r="G46" s="46">
        <f>IF($D46=0,0,'Metal Frames'!J6)</f>
        <v>0</v>
      </c>
    </row>
    <row r="47" spans="1:7" x14ac:dyDescent="0.2">
      <c r="A47" s="32" t="s">
        <v>212</v>
      </c>
      <c r="B47" s="36" t="s">
        <v>211</v>
      </c>
      <c r="C47" s="61">
        <v>2</v>
      </c>
      <c r="D47" s="39">
        <f>'Metal Doors'!D6</f>
        <v>25</v>
      </c>
      <c r="E47" s="39">
        <f>'Metal Doors'!F6</f>
        <v>0</v>
      </c>
      <c r="F47" s="39">
        <f>'Metal Doors'!H6</f>
        <v>0</v>
      </c>
      <c r="G47" s="46">
        <f>IF($D47=0,0,'Metal Doors'!J6)</f>
        <v>0</v>
      </c>
    </row>
    <row r="48" spans="1:7" x14ac:dyDescent="0.2">
      <c r="A48" s="32" t="s">
        <v>213</v>
      </c>
      <c r="B48" s="36" t="s">
        <v>211</v>
      </c>
      <c r="C48" s="61">
        <v>2</v>
      </c>
      <c r="D48" s="39">
        <f>'Doors &amp; Hardware'!D6</f>
        <v>22</v>
      </c>
      <c r="E48" s="39">
        <f>'Doors &amp; Hardware'!F6</f>
        <v>0</v>
      </c>
      <c r="F48" s="39">
        <f>'Doors &amp; Hardware'!H6</f>
        <v>0</v>
      </c>
      <c r="G48" s="46">
        <f>IF($D48=0,0,'Doors &amp; Hardware'!J6)</f>
        <v>0</v>
      </c>
    </row>
    <row r="49" spans="1:7" x14ac:dyDescent="0.2">
      <c r="A49" s="32" t="s">
        <v>214</v>
      </c>
      <c r="B49" s="36" t="s">
        <v>215</v>
      </c>
      <c r="C49" s="61">
        <v>3</v>
      </c>
      <c r="D49" s="39">
        <f>'Tile &amp; Stone'!D6</f>
        <v>24</v>
      </c>
      <c r="E49" s="39">
        <f>'Tile &amp; Stone'!F6</f>
        <v>0</v>
      </c>
      <c r="F49" s="39">
        <f>'Tile &amp; Stone'!H6</f>
        <v>0</v>
      </c>
      <c r="G49" s="46">
        <f>IF($D49=0,0,'Tile &amp; Stone'!J6)</f>
        <v>0</v>
      </c>
    </row>
    <row r="50" spans="1:7" x14ac:dyDescent="0.2">
      <c r="A50" s="32" t="s">
        <v>216</v>
      </c>
      <c r="B50" s="36" t="s">
        <v>217</v>
      </c>
      <c r="C50" s="61">
        <v>2</v>
      </c>
      <c r="D50" s="39">
        <f>'Resilient Flooring'!D6</f>
        <v>28</v>
      </c>
      <c r="E50" s="39">
        <f>'Resilient Flooring'!F6</f>
        <v>0</v>
      </c>
      <c r="F50" s="39">
        <f>'Resilient Flooring'!H6</f>
        <v>0</v>
      </c>
      <c r="G50" s="46">
        <f>IF($D50=0,0,'Resilient Flooring'!J6)</f>
        <v>0</v>
      </c>
    </row>
    <row r="51" spans="1:7" x14ac:dyDescent="0.2">
      <c r="A51" s="32" t="s">
        <v>218</v>
      </c>
      <c r="B51" s="36" t="s">
        <v>219</v>
      </c>
      <c r="C51" s="61">
        <v>2</v>
      </c>
      <c r="D51" s="39">
        <f>'ACT Ceilings'!D6</f>
        <v>20</v>
      </c>
      <c r="E51" s="39">
        <f>'ACT Ceilings'!F6</f>
        <v>0</v>
      </c>
      <c r="F51" s="39">
        <f>'ACT Ceilings'!H6</f>
        <v>0</v>
      </c>
      <c r="G51" s="46">
        <f>IF($D51=0,0,'ACT Ceilings'!J6)</f>
        <v>0</v>
      </c>
    </row>
    <row r="52" spans="1:7" x14ac:dyDescent="0.2">
      <c r="A52" s="32" t="s">
        <v>220</v>
      </c>
      <c r="B52" s="36" t="s">
        <v>221</v>
      </c>
      <c r="C52" s="61">
        <v>3</v>
      </c>
      <c r="D52" s="39">
        <f>'Millwork &amp; Casework'!D6</f>
        <v>24</v>
      </c>
      <c r="E52" s="39">
        <f>'Millwork &amp; Casework'!F6</f>
        <v>0</v>
      </c>
      <c r="F52" s="39">
        <f>'Millwork &amp; Casework'!H6</f>
        <v>0</v>
      </c>
      <c r="G52" s="46">
        <f>IF($D52=0,0,'Millwork &amp; Casework'!J6)</f>
        <v>0</v>
      </c>
    </row>
    <row r="53" spans="1:7" x14ac:dyDescent="0.2">
      <c r="A53" s="32" t="s">
        <v>222</v>
      </c>
      <c r="B53" s="36" t="s">
        <v>223</v>
      </c>
      <c r="C53" s="61">
        <v>1</v>
      </c>
      <c r="D53" s="39">
        <f>Painting!D6</f>
        <v>19</v>
      </c>
      <c r="E53" s="39">
        <f>Painting!F6</f>
        <v>0</v>
      </c>
      <c r="F53" s="39">
        <f>Painting!H6</f>
        <v>0</v>
      </c>
      <c r="G53" s="46">
        <f>IF($D53=0,0,Painting!J6)</f>
        <v>0</v>
      </c>
    </row>
    <row r="54" spans="1:7" x14ac:dyDescent="0.2">
      <c r="A54" s="32" t="s">
        <v>224</v>
      </c>
      <c r="B54" s="36" t="s">
        <v>225</v>
      </c>
      <c r="C54" s="61">
        <v>4</v>
      </c>
      <c r="D54" s="39">
        <f>Electrical!D6</f>
        <v>25</v>
      </c>
      <c r="E54" s="39">
        <f>Electrical!F6</f>
        <v>0</v>
      </c>
      <c r="F54" s="39">
        <f>Electrical!H6</f>
        <v>0</v>
      </c>
      <c r="G54" s="46">
        <f>IF($D54=0,0,Electrical!J6)</f>
        <v>0</v>
      </c>
    </row>
    <row r="55" spans="1:7" x14ac:dyDescent="0.2">
      <c r="A55" s="32" t="s">
        <v>226</v>
      </c>
      <c r="B55" s="36" t="s">
        <v>227</v>
      </c>
      <c r="C55" s="61">
        <v>4</v>
      </c>
      <c r="D55" s="39">
        <f>Plumbing!D6</f>
        <v>26</v>
      </c>
      <c r="E55" s="39">
        <f>Plumbing!F6</f>
        <v>0</v>
      </c>
      <c r="F55" s="39">
        <f>Plumbing!H6</f>
        <v>0</v>
      </c>
      <c r="G55" s="46">
        <f>IF($D55=0,0,Plumbing!J6)</f>
        <v>0</v>
      </c>
    </row>
    <row r="56" spans="1:7" x14ac:dyDescent="0.2">
      <c r="A56" s="32" t="s">
        <v>228</v>
      </c>
      <c r="B56" s="36" t="s">
        <v>229</v>
      </c>
      <c r="C56" s="61">
        <v>3</v>
      </c>
      <c r="D56" s="39">
        <f>'HVAC &amp; Ductwork'!D6</f>
        <v>26</v>
      </c>
      <c r="E56" s="39">
        <f>'HVAC &amp; Ductwork'!F6</f>
        <v>0</v>
      </c>
      <c r="F56" s="39">
        <f>'HVAC &amp; Ductwork'!H6</f>
        <v>0</v>
      </c>
      <c r="G56" s="46">
        <f>IF($D56=0,0,'HVAC &amp; Ductwork'!J6)</f>
        <v>0</v>
      </c>
    </row>
    <row r="57" spans="1:7" x14ac:dyDescent="0.2">
      <c r="A57" s="32" t="s">
        <v>230</v>
      </c>
      <c r="B57" s="36" t="s">
        <v>231</v>
      </c>
      <c r="C57" s="61">
        <v>4</v>
      </c>
      <c r="D57" s="39">
        <f>'Fire Sprinkler'!D6</f>
        <v>24</v>
      </c>
      <c r="E57" s="39">
        <f>'Fire Sprinkler'!F6</f>
        <v>0</v>
      </c>
      <c r="F57" s="39">
        <f>'Fire Sprinkler'!H6</f>
        <v>0</v>
      </c>
      <c r="G57" s="46">
        <f>IF($D57=0,0,'Fire Sprinkler'!J6)</f>
        <v>0</v>
      </c>
    </row>
    <row r="58" spans="1:7" ht="17" thickBot="1" x14ac:dyDescent="0.25">
      <c r="A58" s="32" t="s">
        <v>232</v>
      </c>
      <c r="B58" s="36" t="s">
        <v>233</v>
      </c>
      <c r="C58" s="61">
        <v>4</v>
      </c>
      <c r="D58" s="39">
        <f>'Fire Alarm'!D6</f>
        <v>28</v>
      </c>
      <c r="E58" s="39">
        <f>'Fire Alarm'!F6</f>
        <v>0</v>
      </c>
      <c r="F58" s="39">
        <f>'Fire Alarm'!H6</f>
        <v>0</v>
      </c>
      <c r="G58" s="46">
        <f>IF($D58=0,0,'Fire Alarm'!J6)</f>
        <v>0</v>
      </c>
    </row>
    <row r="59" spans="1:7" ht="17" thickTop="1" x14ac:dyDescent="0.2">
      <c r="A59" s="62" t="s">
        <v>234</v>
      </c>
      <c r="B59" s="63"/>
      <c r="C59" s="64"/>
      <c r="D59" s="65">
        <f>SUM(D33:D58)</f>
        <v>625</v>
      </c>
      <c r="E59" s="65">
        <f>SUM(E33:E58)</f>
        <v>0</v>
      </c>
      <c r="F59" s="65">
        <f>SUM(F33:F58)</f>
        <v>0</v>
      </c>
      <c r="G59" s="66">
        <f>IF($D$59=0,0,$E$59/$D$59)</f>
        <v>0</v>
      </c>
    </row>
  </sheetData>
  <mergeCells count="7">
    <mergeCell ref="A1:G1"/>
    <mergeCell ref="A2:G2"/>
    <mergeCell ref="A4:G4"/>
    <mergeCell ref="A16:G16"/>
    <mergeCell ref="A31:G31"/>
    <mergeCell ref="C18:F29"/>
    <mergeCell ref="C30:F30"/>
  </mergeCells>
  <conditionalFormatting sqref="B22:B23">
    <cfRule type="cellIs" dxfId="150" priority="5" operator="greaterThan">
      <formula>0</formula>
    </cfRule>
  </conditionalFormatting>
  <conditionalFormatting sqref="B25:B27">
    <cfRule type="cellIs" dxfId="149" priority="6" operator="greaterThan">
      <formula>0</formula>
    </cfRule>
  </conditionalFormatting>
  <conditionalFormatting sqref="E6:E14">
    <cfRule type="cellIs" dxfId="148" priority="3" operator="greaterThan">
      <formula>0</formula>
    </cfRule>
  </conditionalFormatting>
  <conditionalFormatting sqref="F6:F14">
    <cfRule type="cellIs" dxfId="147" priority="1" operator="equal">
      <formula>1</formula>
    </cfRule>
  </conditionalFormatting>
  <conditionalFormatting sqref="F33:F59">
    <cfRule type="cellIs" dxfId="146" priority="4" operator="greaterThan">
      <formula>0</formula>
    </cfRule>
  </conditionalFormatting>
  <conditionalFormatting sqref="G33:G59">
    <cfRule type="cellIs" dxfId="145" priority="2" operator="equal">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17ED2-F197-4FC0-AECA-E6A4342B09F4}">
  <sheetPr>
    <pageSetUpPr fitToPage="1"/>
  </sheetPr>
  <dimension ref="A1:Z60"/>
  <sheetViews>
    <sheetView zoomScale="90" zoomScaleNormal="90" workbookViewId="0">
      <pane ySplit="2" topLeftCell="A14" activePane="bottomLeft" state="frozen"/>
      <selection pane="bottomLeft" activeCell="B13" sqref="B13"/>
    </sheetView>
  </sheetViews>
  <sheetFormatPr baseColWidth="10" defaultColWidth="10.83203125" defaultRowHeight="16" x14ac:dyDescent="0.2"/>
  <cols>
    <col min="1" max="1" width="35" style="1" customWidth="1"/>
    <col min="2" max="2" width="72.33203125" style="1" customWidth="1"/>
    <col min="3" max="5" width="37.33203125" style="2" customWidth="1"/>
    <col min="6" max="6" width="26.1640625" style="2" bestFit="1" customWidth="1"/>
    <col min="7" max="7" width="26.6640625" style="2" customWidth="1"/>
    <col min="8" max="16384" width="10.83203125" style="1"/>
  </cols>
  <sheetData>
    <row r="1" spans="1:26" ht="26" customHeight="1" x14ac:dyDescent="0.2">
      <c r="A1" s="249" t="s">
        <v>235</v>
      </c>
      <c r="B1" s="249"/>
      <c r="C1" s="249"/>
      <c r="D1" s="249"/>
      <c r="E1" s="249"/>
      <c r="F1"/>
      <c r="G1"/>
      <c r="H1"/>
      <c r="I1"/>
      <c r="J1"/>
      <c r="K1"/>
      <c r="L1"/>
      <c r="M1"/>
      <c r="N1"/>
      <c r="O1"/>
      <c r="P1"/>
      <c r="Q1"/>
      <c r="R1"/>
      <c r="S1"/>
      <c r="T1"/>
      <c r="U1"/>
      <c r="V1"/>
      <c r="W1"/>
      <c r="X1"/>
      <c r="Y1"/>
      <c r="Z1"/>
    </row>
    <row r="2" spans="1:26" ht="32" customHeight="1" x14ac:dyDescent="0.2">
      <c r="A2" s="257" t="s">
        <v>236</v>
      </c>
      <c r="B2" s="257"/>
      <c r="C2" s="257"/>
      <c r="D2" s="257"/>
      <c r="E2" s="257"/>
      <c r="F2"/>
      <c r="G2"/>
      <c r="H2"/>
      <c r="I2"/>
      <c r="J2"/>
      <c r="K2"/>
      <c r="L2"/>
      <c r="M2"/>
      <c r="N2"/>
      <c r="O2"/>
      <c r="P2"/>
      <c r="Q2"/>
      <c r="R2"/>
      <c r="S2"/>
      <c r="T2"/>
      <c r="U2"/>
      <c r="V2"/>
      <c r="W2"/>
      <c r="X2"/>
      <c r="Y2"/>
      <c r="Z2"/>
    </row>
    <row r="3" spans="1:26" ht="16" customHeight="1" x14ac:dyDescent="0.2">
      <c r="A3" s="4"/>
      <c r="B3" s="4"/>
      <c r="C3" s="4"/>
      <c r="D3" s="4"/>
      <c r="E3" s="4"/>
      <c r="F3"/>
      <c r="G3"/>
      <c r="H3"/>
      <c r="I3"/>
      <c r="J3"/>
      <c r="K3"/>
      <c r="L3"/>
      <c r="M3"/>
      <c r="N3"/>
      <c r="O3"/>
      <c r="P3"/>
      <c r="Q3"/>
      <c r="R3"/>
      <c r="S3"/>
      <c r="T3"/>
      <c r="U3"/>
      <c r="V3"/>
      <c r="W3"/>
      <c r="X3"/>
      <c r="Y3"/>
      <c r="Z3"/>
    </row>
    <row r="4" spans="1:26" x14ac:dyDescent="0.2">
      <c r="A4" s="255" t="s">
        <v>237</v>
      </c>
      <c r="B4" s="255"/>
      <c r="C4" s="255"/>
      <c r="D4" s="255"/>
      <c r="E4" s="255"/>
      <c r="F4"/>
      <c r="G4"/>
      <c r="H4"/>
      <c r="I4"/>
      <c r="J4"/>
      <c r="K4"/>
      <c r="L4"/>
      <c r="M4"/>
      <c r="N4"/>
      <c r="O4"/>
      <c r="P4"/>
      <c r="Q4"/>
      <c r="R4"/>
      <c r="S4"/>
      <c r="T4"/>
      <c r="U4"/>
      <c r="V4"/>
      <c r="W4"/>
      <c r="X4"/>
      <c r="Y4"/>
      <c r="Z4"/>
    </row>
    <row r="5" spans="1:26" x14ac:dyDescent="0.2">
      <c r="A5" s="68" t="s">
        <v>238</v>
      </c>
      <c r="B5" s="68" t="s">
        <v>239</v>
      </c>
      <c r="C5" s="4"/>
      <c r="D5" s="4"/>
      <c r="E5" s="4"/>
      <c r="F5"/>
      <c r="G5"/>
      <c r="H5"/>
      <c r="I5"/>
      <c r="J5"/>
      <c r="K5"/>
      <c r="L5"/>
      <c r="M5"/>
      <c r="N5"/>
      <c r="O5"/>
      <c r="P5"/>
      <c r="Q5"/>
      <c r="R5"/>
      <c r="S5"/>
      <c r="T5"/>
      <c r="U5"/>
      <c r="V5"/>
      <c r="W5"/>
      <c r="X5"/>
      <c r="Y5"/>
      <c r="Z5"/>
    </row>
    <row r="6" spans="1:26" x14ac:dyDescent="0.2">
      <c r="A6" s="69" t="s">
        <v>29</v>
      </c>
      <c r="B6" s="67" t="s">
        <v>30</v>
      </c>
      <c r="C6" s="4"/>
      <c r="D6" s="4"/>
      <c r="E6" s="4"/>
      <c r="F6"/>
      <c r="G6"/>
      <c r="H6"/>
      <c r="I6"/>
      <c r="J6"/>
      <c r="K6"/>
      <c r="L6"/>
      <c r="M6"/>
      <c r="N6"/>
      <c r="O6"/>
      <c r="P6"/>
      <c r="Q6"/>
      <c r="R6"/>
      <c r="S6"/>
      <c r="T6"/>
      <c r="U6"/>
      <c r="V6"/>
      <c r="W6"/>
      <c r="X6"/>
      <c r="Y6"/>
      <c r="Z6"/>
    </row>
    <row r="7" spans="1:26" x14ac:dyDescent="0.2">
      <c r="A7" s="69" t="s">
        <v>32</v>
      </c>
      <c r="B7" s="67" t="s">
        <v>33</v>
      </c>
      <c r="C7" s="4"/>
      <c r="D7" s="4"/>
      <c r="E7" s="4"/>
      <c r="F7"/>
      <c r="G7"/>
      <c r="H7"/>
      <c r="I7"/>
      <c r="J7"/>
      <c r="K7"/>
      <c r="L7"/>
      <c r="M7"/>
      <c r="N7"/>
      <c r="O7"/>
      <c r="P7"/>
      <c r="Q7"/>
      <c r="R7"/>
      <c r="S7"/>
      <c r="T7"/>
      <c r="U7"/>
      <c r="V7"/>
      <c r="W7"/>
      <c r="X7"/>
      <c r="Y7"/>
      <c r="Z7"/>
    </row>
    <row r="8" spans="1:26" x14ac:dyDescent="0.2">
      <c r="A8" s="69" t="s">
        <v>35</v>
      </c>
      <c r="B8" s="67" t="s">
        <v>36</v>
      </c>
      <c r="C8" s="4"/>
      <c r="D8" s="4"/>
      <c r="E8" s="4"/>
      <c r="F8"/>
      <c r="G8"/>
      <c r="H8"/>
      <c r="I8"/>
      <c r="J8"/>
      <c r="K8"/>
      <c r="L8"/>
      <c r="M8"/>
      <c r="N8"/>
      <c r="O8"/>
      <c r="P8"/>
      <c r="Q8"/>
      <c r="R8"/>
      <c r="S8"/>
      <c r="T8"/>
      <c r="U8"/>
      <c r="V8"/>
      <c r="W8"/>
      <c r="X8"/>
      <c r="Y8"/>
      <c r="Z8"/>
    </row>
    <row r="9" spans="1:26" x14ac:dyDescent="0.2">
      <c r="A9" s="69" t="s">
        <v>38</v>
      </c>
      <c r="B9" s="67" t="s">
        <v>39</v>
      </c>
      <c r="C9" s="4"/>
      <c r="D9" s="4"/>
      <c r="E9" s="4"/>
      <c r="F9"/>
      <c r="G9"/>
      <c r="H9"/>
      <c r="I9"/>
      <c r="J9"/>
      <c r="K9"/>
      <c r="L9"/>
      <c r="M9"/>
      <c r="N9"/>
      <c r="O9"/>
      <c r="P9"/>
      <c r="Q9"/>
      <c r="R9"/>
      <c r="S9"/>
      <c r="T9"/>
      <c r="U9"/>
      <c r="V9"/>
      <c r="W9"/>
      <c r="X9"/>
      <c r="Y9"/>
      <c r="Z9"/>
    </row>
    <row r="10" spans="1:26" x14ac:dyDescent="0.2">
      <c r="A10" s="4"/>
      <c r="B10" s="4"/>
      <c r="C10" s="4"/>
      <c r="D10" s="4"/>
      <c r="E10" s="4"/>
      <c r="F10"/>
      <c r="G10"/>
      <c r="H10"/>
      <c r="I10"/>
      <c r="J10"/>
      <c r="K10"/>
      <c r="L10"/>
      <c r="M10"/>
      <c r="N10"/>
      <c r="O10"/>
      <c r="P10"/>
      <c r="Q10"/>
      <c r="R10"/>
      <c r="S10"/>
      <c r="T10"/>
      <c r="U10"/>
      <c r="V10"/>
      <c r="W10"/>
      <c r="X10"/>
      <c r="Y10"/>
      <c r="Z10"/>
    </row>
    <row r="11" spans="1:26" x14ac:dyDescent="0.2">
      <c r="A11" s="255" t="s">
        <v>240</v>
      </c>
      <c r="B11" s="255"/>
      <c r="C11" s="255"/>
      <c r="D11" s="255"/>
      <c r="E11" s="255"/>
      <c r="F11"/>
      <c r="G11"/>
      <c r="H11"/>
      <c r="I11"/>
      <c r="J11"/>
      <c r="K11"/>
      <c r="L11"/>
      <c r="M11"/>
      <c r="N11"/>
      <c r="O11"/>
      <c r="P11"/>
      <c r="Q11"/>
      <c r="R11"/>
      <c r="S11"/>
      <c r="T11"/>
      <c r="U11"/>
      <c r="V11"/>
      <c r="W11"/>
      <c r="X11"/>
      <c r="Y11"/>
      <c r="Z11"/>
    </row>
    <row r="12" spans="1:26" x14ac:dyDescent="0.2">
      <c r="A12" s="68" t="s">
        <v>241</v>
      </c>
      <c r="B12" s="68" t="s">
        <v>242</v>
      </c>
      <c r="C12" s="68" t="s">
        <v>243</v>
      </c>
      <c r="D12" s="68" t="s">
        <v>244</v>
      </c>
      <c r="E12" s="68" t="s">
        <v>245</v>
      </c>
      <c r="F12"/>
      <c r="G12"/>
      <c r="H12"/>
      <c r="I12"/>
      <c r="J12"/>
      <c r="K12"/>
      <c r="L12"/>
      <c r="M12"/>
      <c r="N12"/>
      <c r="O12"/>
      <c r="P12"/>
      <c r="Q12"/>
      <c r="R12"/>
      <c r="S12"/>
      <c r="T12"/>
      <c r="U12"/>
      <c r="V12"/>
      <c r="W12"/>
      <c r="X12"/>
      <c r="Y12"/>
      <c r="Z12"/>
    </row>
    <row r="13" spans="1:26" ht="182" x14ac:dyDescent="0.2">
      <c r="A13" s="69" t="s">
        <v>246</v>
      </c>
      <c r="B13" s="67" t="s">
        <v>247</v>
      </c>
      <c r="C13" s="67" t="s">
        <v>248</v>
      </c>
      <c r="D13" s="67" t="s">
        <v>249</v>
      </c>
      <c r="E13" s="67" t="s">
        <v>250</v>
      </c>
      <c r="F13"/>
      <c r="G13"/>
      <c r="H13"/>
      <c r="I13"/>
      <c r="J13"/>
      <c r="K13"/>
      <c r="L13"/>
      <c r="M13"/>
      <c r="N13"/>
      <c r="O13"/>
      <c r="P13"/>
      <c r="Q13"/>
      <c r="R13"/>
      <c r="S13"/>
      <c r="T13"/>
      <c r="U13"/>
      <c r="V13"/>
      <c r="W13"/>
      <c r="X13"/>
      <c r="Y13"/>
      <c r="Z13"/>
    </row>
    <row r="14" spans="1:26" ht="182" x14ac:dyDescent="0.2">
      <c r="A14" s="69" t="s">
        <v>251</v>
      </c>
      <c r="B14" s="67" t="s">
        <v>252</v>
      </c>
      <c r="C14" s="67" t="s">
        <v>253</v>
      </c>
      <c r="D14" s="67" t="s">
        <v>254</v>
      </c>
      <c r="E14" s="67" t="s">
        <v>255</v>
      </c>
      <c r="F14"/>
      <c r="G14"/>
      <c r="H14"/>
      <c r="I14"/>
      <c r="J14"/>
      <c r="K14"/>
      <c r="L14"/>
      <c r="M14"/>
      <c r="N14"/>
      <c r="O14"/>
      <c r="P14"/>
      <c r="Q14"/>
      <c r="R14"/>
      <c r="S14"/>
      <c r="T14"/>
      <c r="U14"/>
      <c r="V14"/>
      <c r="W14"/>
      <c r="X14"/>
      <c r="Y14"/>
      <c r="Z14"/>
    </row>
    <row r="15" spans="1:26" ht="104" x14ac:dyDescent="0.2">
      <c r="A15" s="69" t="s">
        <v>256</v>
      </c>
      <c r="B15" s="67" t="s">
        <v>257</v>
      </c>
      <c r="C15" s="67" t="s">
        <v>258</v>
      </c>
      <c r="D15" s="67" t="s">
        <v>259</v>
      </c>
      <c r="E15" s="67" t="s">
        <v>260</v>
      </c>
      <c r="F15"/>
      <c r="G15"/>
      <c r="H15"/>
      <c r="I15"/>
      <c r="J15"/>
      <c r="K15"/>
      <c r="L15"/>
      <c r="M15"/>
      <c r="N15"/>
      <c r="O15"/>
      <c r="P15"/>
      <c r="Q15"/>
      <c r="R15"/>
      <c r="S15"/>
      <c r="T15"/>
      <c r="U15"/>
      <c r="V15"/>
      <c r="W15"/>
      <c r="X15"/>
      <c r="Y15"/>
      <c r="Z15"/>
    </row>
    <row r="16" spans="1:26" x14ac:dyDescent="0.2">
      <c r="A16" s="69" t="s">
        <v>261</v>
      </c>
      <c r="B16" s="67" t="s">
        <v>262</v>
      </c>
      <c r="C16" s="67" t="s">
        <v>263</v>
      </c>
      <c r="D16" s="67" t="s">
        <v>264</v>
      </c>
      <c r="E16" s="67" t="s">
        <v>265</v>
      </c>
      <c r="F16"/>
      <c r="G16"/>
      <c r="H16"/>
      <c r="I16"/>
      <c r="J16"/>
      <c r="K16"/>
      <c r="L16"/>
      <c r="M16"/>
      <c r="N16"/>
      <c r="O16"/>
      <c r="P16"/>
      <c r="Q16"/>
      <c r="R16"/>
      <c r="S16"/>
      <c r="T16"/>
      <c r="U16"/>
      <c r="V16"/>
      <c r="W16"/>
      <c r="X16"/>
      <c r="Y16"/>
      <c r="Z16"/>
    </row>
    <row r="17" spans="1:26" x14ac:dyDescent="0.2">
      <c r="A17" s="69" t="s">
        <v>266</v>
      </c>
      <c r="B17" s="67" t="s">
        <v>267</v>
      </c>
      <c r="C17" s="67" t="s">
        <v>268</v>
      </c>
      <c r="D17" s="67" t="s">
        <v>269</v>
      </c>
      <c r="E17" s="67" t="s">
        <v>270</v>
      </c>
      <c r="F17"/>
      <c r="G17"/>
      <c r="H17"/>
      <c r="I17"/>
      <c r="J17"/>
      <c r="K17"/>
      <c r="L17"/>
      <c r="M17"/>
      <c r="N17"/>
      <c r="O17"/>
      <c r="P17"/>
      <c r="Q17"/>
      <c r="R17"/>
      <c r="S17"/>
      <c r="T17"/>
      <c r="U17"/>
      <c r="V17"/>
      <c r="W17"/>
      <c r="X17"/>
      <c r="Y17"/>
      <c r="Z17"/>
    </row>
    <row r="18" spans="1:26" x14ac:dyDescent="0.2">
      <c r="A18" s="69" t="s">
        <v>271</v>
      </c>
      <c r="B18" s="67" t="s">
        <v>272</v>
      </c>
      <c r="C18" s="67" t="s">
        <v>273</v>
      </c>
      <c r="D18" s="67" t="s">
        <v>274</v>
      </c>
      <c r="E18" s="67" t="s">
        <v>275</v>
      </c>
      <c r="F18"/>
      <c r="G18"/>
      <c r="H18"/>
      <c r="I18"/>
      <c r="J18"/>
      <c r="K18"/>
      <c r="L18"/>
      <c r="M18"/>
      <c r="N18"/>
      <c r="O18"/>
      <c r="P18"/>
      <c r="Q18"/>
      <c r="R18"/>
      <c r="S18"/>
      <c r="T18"/>
      <c r="U18"/>
      <c r="V18"/>
      <c r="W18"/>
      <c r="X18"/>
      <c r="Y18"/>
      <c r="Z18"/>
    </row>
    <row r="19" spans="1:26" x14ac:dyDescent="0.2">
      <c r="A19" s="69" t="s">
        <v>276</v>
      </c>
      <c r="B19" s="67" t="s">
        <v>277</v>
      </c>
      <c r="C19" s="67" t="s">
        <v>278</v>
      </c>
      <c r="D19" s="67" t="s">
        <v>279</v>
      </c>
      <c r="E19" s="67" t="s">
        <v>280</v>
      </c>
      <c r="F19"/>
      <c r="G19"/>
      <c r="H19"/>
      <c r="I19"/>
      <c r="J19"/>
      <c r="K19"/>
      <c r="L19"/>
      <c r="M19"/>
      <c r="N19"/>
      <c r="O19"/>
      <c r="P19"/>
      <c r="Q19"/>
      <c r="R19"/>
      <c r="S19"/>
      <c r="T19"/>
      <c r="U19"/>
      <c r="V19"/>
      <c r="W19"/>
      <c r="X19"/>
      <c r="Y19"/>
      <c r="Z19"/>
    </row>
    <row r="20" spans="1:26" x14ac:dyDescent="0.2">
      <c r="A20"/>
      <c r="B20"/>
      <c r="C20"/>
      <c r="D20"/>
      <c r="E20"/>
      <c r="F20"/>
      <c r="G20"/>
      <c r="H20"/>
      <c r="I20"/>
      <c r="J20"/>
      <c r="K20"/>
      <c r="L20"/>
      <c r="M20"/>
      <c r="N20"/>
      <c r="O20"/>
      <c r="P20"/>
      <c r="Q20"/>
      <c r="R20"/>
      <c r="S20"/>
      <c r="T20"/>
      <c r="U20"/>
      <c r="V20"/>
      <c r="W20"/>
      <c r="X20"/>
      <c r="Y20"/>
      <c r="Z20"/>
    </row>
    <row r="21" spans="1:26" x14ac:dyDescent="0.2">
      <c r="A21"/>
      <c r="B21"/>
      <c r="C21"/>
      <c r="D21"/>
      <c r="E21"/>
      <c r="F21"/>
      <c r="G21"/>
      <c r="H21"/>
      <c r="I21"/>
      <c r="J21"/>
      <c r="K21"/>
      <c r="L21"/>
      <c r="M21"/>
      <c r="N21"/>
      <c r="O21"/>
      <c r="P21"/>
      <c r="Q21"/>
      <c r="R21"/>
      <c r="S21"/>
      <c r="T21"/>
      <c r="U21"/>
      <c r="V21"/>
      <c r="W21"/>
      <c r="X21"/>
      <c r="Y21"/>
      <c r="Z21"/>
    </row>
    <row r="22" spans="1:26" x14ac:dyDescent="0.2">
      <c r="A22"/>
      <c r="B22"/>
      <c r="C22"/>
      <c r="D22"/>
      <c r="E22"/>
      <c r="F22"/>
      <c r="G22"/>
      <c r="H22"/>
      <c r="I22"/>
      <c r="J22"/>
      <c r="K22"/>
      <c r="L22"/>
      <c r="M22"/>
      <c r="N22"/>
      <c r="O22"/>
      <c r="P22"/>
      <c r="Q22"/>
      <c r="R22"/>
      <c r="S22"/>
      <c r="T22"/>
      <c r="U22"/>
      <c r="V22"/>
      <c r="W22"/>
      <c r="X22"/>
      <c r="Y22"/>
      <c r="Z22"/>
    </row>
    <row r="23" spans="1:26" x14ac:dyDescent="0.2">
      <c r="A23"/>
      <c r="B23"/>
      <c r="C23"/>
      <c r="D23"/>
      <c r="E23"/>
      <c r="F23"/>
      <c r="G23"/>
      <c r="H23"/>
      <c r="I23"/>
      <c r="J23"/>
      <c r="K23"/>
      <c r="L23"/>
      <c r="M23"/>
      <c r="N23"/>
      <c r="O23"/>
      <c r="P23"/>
      <c r="Q23"/>
      <c r="R23"/>
      <c r="S23"/>
      <c r="T23"/>
      <c r="U23"/>
      <c r="V23"/>
      <c r="W23"/>
      <c r="X23"/>
      <c r="Y23"/>
      <c r="Z23"/>
    </row>
    <row r="24" spans="1:26" x14ac:dyDescent="0.2">
      <c r="A24"/>
      <c r="B24"/>
      <c r="C24"/>
      <c r="D24"/>
      <c r="E24"/>
      <c r="F24"/>
      <c r="G24"/>
      <c r="H24"/>
      <c r="I24"/>
      <c r="J24"/>
      <c r="K24"/>
      <c r="L24"/>
      <c r="M24"/>
      <c r="N24"/>
      <c r="O24"/>
      <c r="P24"/>
      <c r="Q24"/>
      <c r="R24"/>
      <c r="S24"/>
      <c r="T24"/>
      <c r="U24"/>
      <c r="V24"/>
      <c r="W24"/>
      <c r="X24"/>
      <c r="Y24"/>
      <c r="Z24"/>
    </row>
    <row r="25" spans="1:26" x14ac:dyDescent="0.2">
      <c r="A25"/>
      <c r="B25"/>
      <c r="C25"/>
      <c r="D25"/>
      <c r="E25"/>
      <c r="F25"/>
      <c r="G25"/>
      <c r="H25"/>
      <c r="I25"/>
      <c r="J25"/>
      <c r="K25"/>
      <c r="L25"/>
      <c r="M25"/>
      <c r="N25"/>
      <c r="O25"/>
      <c r="P25"/>
      <c r="Q25"/>
      <c r="R25"/>
      <c r="S25"/>
      <c r="T25"/>
      <c r="U25"/>
      <c r="V25"/>
      <c r="W25"/>
      <c r="X25"/>
      <c r="Y25"/>
      <c r="Z25"/>
    </row>
    <row r="26" spans="1:26" x14ac:dyDescent="0.2">
      <c r="A26"/>
      <c r="B26"/>
      <c r="C26"/>
      <c r="D26"/>
      <c r="E26"/>
      <c r="F26"/>
      <c r="G26"/>
      <c r="H26"/>
      <c r="I26"/>
      <c r="J26"/>
      <c r="K26"/>
      <c r="L26"/>
      <c r="M26"/>
      <c r="N26"/>
      <c r="O26"/>
      <c r="P26"/>
      <c r="Q26"/>
      <c r="R26"/>
      <c r="S26"/>
      <c r="T26"/>
      <c r="U26"/>
      <c r="V26"/>
      <c r="W26"/>
      <c r="X26"/>
      <c r="Y26"/>
      <c r="Z26"/>
    </row>
    <row r="27" spans="1:26" x14ac:dyDescent="0.2">
      <c r="A27"/>
      <c r="B27"/>
      <c r="C27"/>
      <c r="D27"/>
      <c r="E27"/>
      <c r="F27"/>
      <c r="G27"/>
      <c r="H27"/>
      <c r="I27"/>
      <c r="J27"/>
      <c r="K27"/>
      <c r="L27"/>
      <c r="M27"/>
      <c r="N27"/>
      <c r="O27"/>
      <c r="P27"/>
      <c r="Q27"/>
      <c r="R27"/>
      <c r="S27"/>
      <c r="T27"/>
      <c r="U27"/>
      <c r="V27"/>
      <c r="W27"/>
      <c r="X27"/>
      <c r="Y27"/>
      <c r="Z27"/>
    </row>
    <row r="28" spans="1:26" x14ac:dyDescent="0.2">
      <c r="A28"/>
      <c r="B28"/>
      <c r="C28"/>
      <c r="D28"/>
      <c r="E28"/>
      <c r="F28"/>
      <c r="G28"/>
      <c r="H28"/>
      <c r="I28"/>
      <c r="J28"/>
      <c r="K28"/>
      <c r="L28"/>
      <c r="M28"/>
      <c r="N28"/>
      <c r="O28"/>
      <c r="P28"/>
      <c r="Q28"/>
      <c r="R28"/>
      <c r="S28"/>
      <c r="T28"/>
      <c r="U28"/>
      <c r="V28"/>
      <c r="W28"/>
      <c r="X28"/>
      <c r="Y28"/>
      <c r="Z28"/>
    </row>
    <row r="29" spans="1:26" x14ac:dyDescent="0.2">
      <c r="A29"/>
      <c r="B29"/>
      <c r="C29"/>
      <c r="D29"/>
      <c r="E29"/>
      <c r="F29"/>
      <c r="G29"/>
      <c r="H29"/>
      <c r="I29"/>
      <c r="J29"/>
      <c r="K29"/>
      <c r="L29"/>
      <c r="M29"/>
      <c r="N29"/>
      <c r="O29"/>
      <c r="P29"/>
      <c r="Q29"/>
      <c r="R29"/>
      <c r="S29"/>
      <c r="T29"/>
      <c r="U29"/>
      <c r="V29"/>
      <c r="W29"/>
      <c r="X29"/>
      <c r="Y29"/>
      <c r="Z29"/>
    </row>
    <row r="30" spans="1:26" x14ac:dyDescent="0.2">
      <c r="A30"/>
      <c r="B30"/>
      <c r="C30"/>
      <c r="D30"/>
      <c r="E30"/>
      <c r="F30"/>
      <c r="G30"/>
      <c r="H30"/>
      <c r="I30"/>
      <c r="J30"/>
      <c r="K30"/>
      <c r="L30"/>
      <c r="M30"/>
      <c r="N30"/>
      <c r="O30"/>
      <c r="P30"/>
      <c r="Q30"/>
      <c r="R30"/>
      <c r="S30"/>
      <c r="T30"/>
      <c r="U30"/>
      <c r="V30"/>
      <c r="W30"/>
      <c r="X30"/>
      <c r="Y30"/>
      <c r="Z30"/>
    </row>
    <row r="31" spans="1:26" x14ac:dyDescent="0.2">
      <c r="A31"/>
      <c r="B31"/>
      <c r="C31"/>
      <c r="D31"/>
      <c r="E31"/>
      <c r="F31"/>
      <c r="G31"/>
      <c r="H31"/>
      <c r="I31"/>
      <c r="J31"/>
      <c r="K31"/>
      <c r="L31"/>
      <c r="M31"/>
      <c r="N31"/>
      <c r="O31"/>
      <c r="P31"/>
      <c r="Q31"/>
      <c r="R31"/>
      <c r="S31"/>
      <c r="T31"/>
      <c r="U31"/>
      <c r="V31"/>
      <c r="W31"/>
      <c r="X31"/>
      <c r="Y31"/>
      <c r="Z31"/>
    </row>
    <row r="32" spans="1:26" x14ac:dyDescent="0.2">
      <c r="A32"/>
      <c r="B32"/>
      <c r="C32"/>
      <c r="D32"/>
      <c r="E32"/>
      <c r="F32"/>
      <c r="G32"/>
      <c r="H32"/>
      <c r="I32"/>
      <c r="J32"/>
      <c r="K32"/>
      <c r="L32"/>
      <c r="M32"/>
      <c r="N32"/>
      <c r="O32"/>
      <c r="P32"/>
      <c r="Q32"/>
      <c r="R32"/>
      <c r="S32"/>
      <c r="T32"/>
      <c r="U32"/>
      <c r="V32"/>
      <c r="W32"/>
      <c r="X32"/>
      <c r="Y32"/>
      <c r="Z32"/>
    </row>
    <row r="33" spans="1:26" x14ac:dyDescent="0.2">
      <c r="A33"/>
      <c r="B33"/>
      <c r="C33"/>
      <c r="D33"/>
      <c r="E33"/>
      <c r="F33"/>
      <c r="G33"/>
      <c r="H33"/>
      <c r="I33"/>
      <c r="J33"/>
      <c r="K33"/>
      <c r="L33"/>
      <c r="M33"/>
      <c r="N33"/>
      <c r="O33"/>
      <c r="P33"/>
      <c r="Q33"/>
      <c r="R33"/>
      <c r="S33"/>
      <c r="T33"/>
      <c r="U33"/>
      <c r="V33"/>
      <c r="W33"/>
      <c r="X33"/>
      <c r="Y33"/>
      <c r="Z33"/>
    </row>
    <row r="34" spans="1:26" x14ac:dyDescent="0.2">
      <c r="A34"/>
      <c r="B34"/>
      <c r="C34"/>
      <c r="D34"/>
      <c r="E34"/>
      <c r="F34"/>
      <c r="G34"/>
      <c r="H34"/>
      <c r="I34"/>
      <c r="J34"/>
      <c r="K34"/>
      <c r="L34"/>
      <c r="M34"/>
      <c r="N34"/>
      <c r="O34"/>
      <c r="P34"/>
      <c r="Q34"/>
      <c r="R34"/>
      <c r="S34"/>
      <c r="T34"/>
      <c r="U34"/>
      <c r="V34"/>
      <c r="W34"/>
      <c r="X34"/>
      <c r="Y34"/>
      <c r="Z34"/>
    </row>
    <row r="35" spans="1:26" x14ac:dyDescent="0.2">
      <c r="A35"/>
      <c r="B35"/>
      <c r="C35"/>
      <c r="D35"/>
      <c r="E35"/>
      <c r="F35"/>
      <c r="G35"/>
      <c r="H35"/>
      <c r="I35"/>
      <c r="J35"/>
      <c r="K35"/>
      <c r="L35"/>
      <c r="M35"/>
      <c r="N35"/>
      <c r="O35"/>
      <c r="P35"/>
      <c r="Q35"/>
      <c r="R35"/>
      <c r="S35"/>
      <c r="T35"/>
      <c r="U35"/>
      <c r="V35"/>
      <c r="W35"/>
      <c r="X35"/>
      <c r="Y35"/>
      <c r="Z35"/>
    </row>
    <row r="36" spans="1:26" x14ac:dyDescent="0.2">
      <c r="A36"/>
      <c r="B36"/>
      <c r="C36"/>
      <c r="D36"/>
      <c r="E36"/>
      <c r="F36"/>
      <c r="G36"/>
      <c r="H36"/>
      <c r="I36"/>
      <c r="J36"/>
      <c r="K36"/>
      <c r="L36"/>
      <c r="M36"/>
      <c r="N36"/>
      <c r="O36"/>
      <c r="P36"/>
      <c r="Q36"/>
      <c r="R36"/>
      <c r="S36"/>
      <c r="T36"/>
      <c r="U36"/>
      <c r="V36"/>
      <c r="W36"/>
      <c r="X36"/>
      <c r="Y36"/>
      <c r="Z36"/>
    </row>
    <row r="37" spans="1:26" x14ac:dyDescent="0.2">
      <c r="A37"/>
      <c r="B37"/>
      <c r="C37"/>
      <c r="D37"/>
      <c r="E37"/>
      <c r="F37"/>
      <c r="G37"/>
      <c r="H37"/>
      <c r="I37"/>
      <c r="J37"/>
      <c r="K37"/>
      <c r="L37"/>
      <c r="M37"/>
      <c r="N37"/>
      <c r="O37"/>
      <c r="P37"/>
      <c r="Q37"/>
      <c r="R37"/>
      <c r="S37"/>
      <c r="T37"/>
      <c r="U37"/>
      <c r="V37"/>
      <c r="W37"/>
      <c r="X37"/>
      <c r="Y37"/>
      <c r="Z37"/>
    </row>
    <row r="38" spans="1:26" x14ac:dyDescent="0.2">
      <c r="A38"/>
      <c r="B38"/>
      <c r="C38"/>
      <c r="D38"/>
      <c r="E38"/>
      <c r="F38"/>
      <c r="G38"/>
      <c r="H38"/>
      <c r="I38"/>
      <c r="J38"/>
      <c r="K38"/>
      <c r="L38"/>
      <c r="M38"/>
      <c r="N38"/>
      <c r="O38"/>
      <c r="P38"/>
      <c r="Q38"/>
      <c r="R38"/>
      <c r="S38"/>
      <c r="T38"/>
      <c r="U38"/>
      <c r="V38"/>
      <c r="W38"/>
      <c r="X38"/>
      <c r="Y38"/>
      <c r="Z38"/>
    </row>
    <row r="39" spans="1:26" x14ac:dyDescent="0.2">
      <c r="A39"/>
      <c r="B39"/>
      <c r="C39"/>
      <c r="D39"/>
      <c r="E39"/>
      <c r="F39"/>
      <c r="G39"/>
      <c r="H39"/>
      <c r="I39"/>
      <c r="J39"/>
      <c r="K39"/>
      <c r="L39"/>
      <c r="M39"/>
      <c r="N39"/>
      <c r="O39"/>
      <c r="P39"/>
      <c r="Q39"/>
      <c r="R39"/>
      <c r="S39"/>
      <c r="T39"/>
      <c r="U39"/>
      <c r="V39"/>
      <c r="W39"/>
      <c r="X39"/>
      <c r="Y39"/>
      <c r="Z39"/>
    </row>
    <row r="40" spans="1:26" x14ac:dyDescent="0.2">
      <c r="A40"/>
      <c r="B40"/>
      <c r="C40"/>
      <c r="D40"/>
      <c r="E40"/>
      <c r="F40"/>
      <c r="G40"/>
      <c r="H40"/>
      <c r="I40"/>
      <c r="J40"/>
      <c r="K40"/>
      <c r="L40"/>
      <c r="M40"/>
      <c r="N40"/>
      <c r="O40"/>
      <c r="P40"/>
      <c r="Q40"/>
      <c r="R40"/>
      <c r="S40"/>
      <c r="T40"/>
      <c r="U40"/>
      <c r="V40"/>
      <c r="W40"/>
      <c r="X40"/>
      <c r="Y40"/>
      <c r="Z40"/>
    </row>
    <row r="41" spans="1:26" x14ac:dyDescent="0.2">
      <c r="A41"/>
      <c r="B41"/>
      <c r="C41"/>
      <c r="D41"/>
      <c r="E41"/>
      <c r="F41"/>
      <c r="G41"/>
      <c r="H41"/>
      <c r="I41"/>
      <c r="J41"/>
      <c r="K41"/>
      <c r="L41"/>
      <c r="M41"/>
      <c r="N41"/>
      <c r="O41"/>
      <c r="P41"/>
      <c r="Q41"/>
      <c r="R41"/>
      <c r="S41"/>
      <c r="T41"/>
      <c r="U41"/>
      <c r="V41"/>
      <c r="W41"/>
      <c r="X41"/>
      <c r="Y41"/>
      <c r="Z41"/>
    </row>
    <row r="42" spans="1:26" x14ac:dyDescent="0.2">
      <c r="A42"/>
      <c r="B42"/>
      <c r="C42"/>
      <c r="D42"/>
      <c r="E42"/>
      <c r="F42"/>
      <c r="G42"/>
      <c r="H42"/>
      <c r="I42"/>
      <c r="J42"/>
      <c r="K42"/>
      <c r="L42"/>
      <c r="M42"/>
      <c r="N42"/>
      <c r="O42"/>
      <c r="P42"/>
      <c r="Q42"/>
      <c r="R42"/>
      <c r="S42"/>
      <c r="T42"/>
      <c r="U42"/>
      <c r="V42"/>
      <c r="W42"/>
      <c r="X42"/>
      <c r="Y42"/>
      <c r="Z42"/>
    </row>
    <row r="43" spans="1:26" x14ac:dyDescent="0.2">
      <c r="A43"/>
      <c r="B43"/>
      <c r="C43"/>
      <c r="D43"/>
      <c r="E43"/>
      <c r="F43"/>
      <c r="G43"/>
      <c r="H43"/>
      <c r="I43"/>
      <c r="J43"/>
      <c r="K43"/>
      <c r="L43"/>
      <c r="M43"/>
      <c r="N43"/>
      <c r="O43"/>
      <c r="P43"/>
      <c r="Q43"/>
      <c r="R43"/>
      <c r="S43"/>
      <c r="T43"/>
      <c r="U43"/>
      <c r="V43"/>
      <c r="W43"/>
      <c r="X43"/>
      <c r="Y43"/>
      <c r="Z43"/>
    </row>
    <row r="44" spans="1:26" x14ac:dyDescent="0.2">
      <c r="A44"/>
      <c r="B44"/>
      <c r="C44"/>
      <c r="D44"/>
      <c r="E44"/>
      <c r="F44"/>
      <c r="G44"/>
      <c r="H44"/>
      <c r="I44"/>
      <c r="J44"/>
      <c r="K44"/>
      <c r="L44"/>
      <c r="M44"/>
      <c r="N44"/>
      <c r="O44"/>
      <c r="P44"/>
      <c r="Q44"/>
      <c r="R44"/>
      <c r="S44"/>
      <c r="T44"/>
      <c r="U44"/>
      <c r="V44"/>
      <c r="W44"/>
      <c r="X44"/>
      <c r="Y44"/>
      <c r="Z44"/>
    </row>
    <row r="45" spans="1:26" x14ac:dyDescent="0.2">
      <c r="A45"/>
      <c r="B45"/>
      <c r="C45"/>
      <c r="D45"/>
      <c r="E45"/>
      <c r="F45"/>
      <c r="G45"/>
      <c r="H45"/>
      <c r="I45"/>
      <c r="J45"/>
      <c r="K45"/>
      <c r="L45"/>
      <c r="M45"/>
      <c r="N45"/>
      <c r="O45"/>
      <c r="P45"/>
      <c r="Q45"/>
      <c r="R45"/>
      <c r="S45"/>
      <c r="T45"/>
      <c r="U45"/>
      <c r="V45"/>
      <c r="W45"/>
      <c r="X45"/>
      <c r="Y45"/>
      <c r="Z45"/>
    </row>
    <row r="46" spans="1:26" x14ac:dyDescent="0.2">
      <c r="A46"/>
      <c r="B46"/>
      <c r="C46"/>
      <c r="D46"/>
      <c r="E46"/>
      <c r="F46"/>
      <c r="G46"/>
      <c r="H46"/>
      <c r="I46"/>
      <c r="J46"/>
      <c r="K46"/>
      <c r="L46"/>
      <c r="M46"/>
      <c r="N46"/>
      <c r="O46"/>
      <c r="P46"/>
      <c r="Q46"/>
      <c r="R46"/>
      <c r="S46"/>
      <c r="T46"/>
      <c r="U46"/>
      <c r="V46"/>
      <c r="W46"/>
      <c r="X46"/>
      <c r="Y46"/>
      <c r="Z46"/>
    </row>
    <row r="47" spans="1:26" x14ac:dyDescent="0.2">
      <c r="A47"/>
      <c r="B47"/>
      <c r="C47"/>
      <c r="D47"/>
      <c r="E47"/>
      <c r="F47"/>
      <c r="G47"/>
      <c r="H47"/>
      <c r="I47"/>
      <c r="J47"/>
      <c r="K47"/>
      <c r="L47"/>
      <c r="M47"/>
      <c r="N47"/>
      <c r="O47"/>
      <c r="P47"/>
      <c r="Q47"/>
      <c r="R47"/>
      <c r="S47"/>
      <c r="T47"/>
      <c r="U47"/>
      <c r="V47"/>
      <c r="W47"/>
      <c r="X47"/>
      <c r="Y47"/>
      <c r="Z47"/>
    </row>
    <row r="48" spans="1:26" x14ac:dyDescent="0.2">
      <c r="A48"/>
      <c r="B48"/>
      <c r="C48"/>
      <c r="D48"/>
      <c r="E48"/>
      <c r="F48"/>
      <c r="G48"/>
      <c r="H48"/>
      <c r="I48"/>
      <c r="J48"/>
      <c r="K48"/>
      <c r="L48"/>
      <c r="M48"/>
      <c r="N48"/>
      <c r="O48"/>
      <c r="P48"/>
      <c r="Q48"/>
      <c r="R48"/>
      <c r="S48"/>
      <c r="T48"/>
      <c r="U48"/>
      <c r="V48"/>
      <c r="W48"/>
      <c r="X48"/>
      <c r="Y48"/>
      <c r="Z48"/>
    </row>
    <row r="49" spans="1:26" x14ac:dyDescent="0.2">
      <c r="A49"/>
      <c r="B49"/>
      <c r="C49"/>
      <c r="D49"/>
      <c r="E49"/>
      <c r="F49"/>
      <c r="G49"/>
      <c r="H49"/>
      <c r="I49"/>
      <c r="J49"/>
      <c r="K49"/>
      <c r="L49"/>
      <c r="M49"/>
      <c r="N49"/>
      <c r="O49"/>
      <c r="P49"/>
      <c r="Q49"/>
      <c r="R49"/>
      <c r="S49"/>
      <c r="T49"/>
      <c r="U49"/>
      <c r="V49"/>
      <c r="W49"/>
      <c r="X49"/>
      <c r="Y49"/>
      <c r="Z49"/>
    </row>
    <row r="50" spans="1:26" x14ac:dyDescent="0.2">
      <c r="A50"/>
      <c r="B50"/>
      <c r="C50"/>
      <c r="D50"/>
      <c r="E50"/>
      <c r="F50"/>
      <c r="G50"/>
      <c r="H50"/>
      <c r="I50"/>
      <c r="J50"/>
      <c r="K50"/>
      <c r="L50"/>
      <c r="M50"/>
      <c r="N50"/>
      <c r="O50"/>
      <c r="P50"/>
      <c r="Q50"/>
      <c r="R50"/>
      <c r="S50"/>
      <c r="T50"/>
      <c r="U50"/>
      <c r="V50"/>
      <c r="W50"/>
      <c r="X50"/>
      <c r="Y50"/>
      <c r="Z50"/>
    </row>
    <row r="51" spans="1:26" x14ac:dyDescent="0.2">
      <c r="A51"/>
      <c r="B51"/>
      <c r="C51"/>
      <c r="D51"/>
      <c r="E51"/>
      <c r="F51"/>
      <c r="G51"/>
      <c r="H51"/>
      <c r="I51"/>
      <c r="J51"/>
      <c r="K51"/>
      <c r="L51"/>
      <c r="M51"/>
      <c r="N51"/>
      <c r="O51"/>
      <c r="P51"/>
      <c r="Q51"/>
      <c r="R51"/>
      <c r="S51"/>
      <c r="T51"/>
      <c r="U51"/>
      <c r="V51"/>
      <c r="W51"/>
      <c r="X51"/>
      <c r="Y51"/>
      <c r="Z51"/>
    </row>
    <row r="52" spans="1:26" x14ac:dyDescent="0.2">
      <c r="A52"/>
      <c r="B52"/>
      <c r="C52"/>
      <c r="D52"/>
      <c r="E52"/>
      <c r="F52"/>
      <c r="G52"/>
      <c r="H52"/>
      <c r="I52"/>
      <c r="J52"/>
      <c r="K52"/>
      <c r="L52"/>
      <c r="M52"/>
      <c r="N52"/>
      <c r="O52"/>
      <c r="P52"/>
      <c r="Q52"/>
      <c r="R52"/>
      <c r="S52"/>
      <c r="T52"/>
      <c r="U52"/>
      <c r="V52"/>
      <c r="W52"/>
      <c r="X52"/>
      <c r="Y52"/>
      <c r="Z52"/>
    </row>
    <row r="53" spans="1:26" x14ac:dyDescent="0.2">
      <c r="A53"/>
      <c r="B53"/>
      <c r="C53"/>
      <c r="D53"/>
      <c r="E53"/>
      <c r="F53"/>
      <c r="G53"/>
      <c r="H53"/>
      <c r="I53"/>
      <c r="J53"/>
      <c r="K53"/>
      <c r="L53"/>
      <c r="M53"/>
      <c r="N53"/>
      <c r="O53"/>
      <c r="P53"/>
      <c r="Q53"/>
      <c r="R53"/>
      <c r="S53"/>
      <c r="T53"/>
      <c r="U53"/>
      <c r="V53"/>
      <c r="W53"/>
      <c r="X53"/>
      <c r="Y53"/>
      <c r="Z53"/>
    </row>
    <row r="54" spans="1:26" x14ac:dyDescent="0.2">
      <c r="A54"/>
      <c r="B54"/>
      <c r="C54"/>
      <c r="D54"/>
      <c r="E54"/>
      <c r="F54"/>
      <c r="G54"/>
      <c r="H54"/>
      <c r="I54"/>
      <c r="J54"/>
      <c r="K54"/>
      <c r="L54"/>
      <c r="M54"/>
      <c r="N54"/>
      <c r="O54"/>
      <c r="P54"/>
      <c r="Q54"/>
      <c r="R54"/>
      <c r="S54"/>
      <c r="T54"/>
      <c r="U54"/>
      <c r="V54"/>
      <c r="W54"/>
      <c r="X54"/>
      <c r="Y54"/>
      <c r="Z54"/>
    </row>
    <row r="55" spans="1:26" x14ac:dyDescent="0.2">
      <c r="A55"/>
      <c r="B55"/>
      <c r="C55"/>
      <c r="D55"/>
      <c r="E55"/>
      <c r="F55"/>
      <c r="G55"/>
      <c r="H55"/>
      <c r="I55"/>
      <c r="J55"/>
      <c r="K55"/>
      <c r="L55"/>
      <c r="M55"/>
      <c r="N55"/>
      <c r="O55"/>
      <c r="P55"/>
      <c r="Q55"/>
      <c r="R55"/>
      <c r="S55"/>
      <c r="T55"/>
      <c r="U55"/>
      <c r="V55"/>
      <c r="W55"/>
      <c r="X55"/>
      <c r="Y55"/>
      <c r="Z55"/>
    </row>
    <row r="56" spans="1:26" x14ac:dyDescent="0.2">
      <c r="A56"/>
      <c r="B56"/>
      <c r="C56"/>
      <c r="D56"/>
      <c r="E56"/>
      <c r="F56"/>
      <c r="G56"/>
      <c r="H56"/>
      <c r="I56"/>
      <c r="J56"/>
      <c r="K56"/>
      <c r="L56"/>
      <c r="M56"/>
      <c r="N56"/>
      <c r="O56"/>
      <c r="P56"/>
      <c r="Q56"/>
      <c r="R56"/>
      <c r="S56"/>
      <c r="T56"/>
      <c r="U56"/>
      <c r="V56"/>
      <c r="W56"/>
      <c r="X56"/>
      <c r="Y56"/>
      <c r="Z56"/>
    </row>
    <row r="57" spans="1:26" x14ac:dyDescent="0.2">
      <c r="A57"/>
      <c r="B57"/>
      <c r="C57"/>
      <c r="D57"/>
      <c r="E57"/>
      <c r="F57"/>
      <c r="G57"/>
      <c r="H57"/>
      <c r="I57"/>
      <c r="J57"/>
      <c r="K57"/>
      <c r="L57"/>
      <c r="M57"/>
      <c r="N57"/>
      <c r="O57"/>
      <c r="P57"/>
      <c r="Q57"/>
      <c r="R57"/>
      <c r="S57"/>
      <c r="T57"/>
      <c r="U57"/>
      <c r="V57"/>
      <c r="W57"/>
      <c r="X57"/>
      <c r="Y57"/>
      <c r="Z57"/>
    </row>
    <row r="58" spans="1:26" x14ac:dyDescent="0.2">
      <c r="A58"/>
      <c r="B58"/>
      <c r="C58"/>
      <c r="D58"/>
      <c r="E58"/>
      <c r="F58"/>
      <c r="G58"/>
      <c r="H58"/>
      <c r="I58"/>
      <c r="J58"/>
      <c r="K58"/>
      <c r="L58"/>
      <c r="M58"/>
      <c r="N58"/>
      <c r="O58"/>
      <c r="P58"/>
      <c r="Q58"/>
      <c r="R58"/>
      <c r="S58"/>
      <c r="T58"/>
      <c r="U58"/>
      <c r="V58"/>
      <c r="W58"/>
      <c r="X58"/>
      <c r="Y58"/>
      <c r="Z58"/>
    </row>
    <row r="59" spans="1:26" x14ac:dyDescent="0.2">
      <c r="A59"/>
      <c r="B59"/>
      <c r="C59"/>
      <c r="D59"/>
      <c r="E59"/>
      <c r="F59"/>
      <c r="G59"/>
      <c r="H59"/>
      <c r="I59"/>
      <c r="J59"/>
      <c r="K59"/>
      <c r="L59"/>
      <c r="M59"/>
      <c r="N59"/>
      <c r="O59"/>
      <c r="P59"/>
      <c r="Q59"/>
      <c r="R59"/>
      <c r="S59"/>
      <c r="T59"/>
      <c r="U59"/>
      <c r="V59"/>
      <c r="W59"/>
      <c r="X59"/>
      <c r="Y59"/>
      <c r="Z59"/>
    </row>
    <row r="60" spans="1:26" x14ac:dyDescent="0.2">
      <c r="A60"/>
      <c r="B60"/>
      <c r="C60"/>
      <c r="D60"/>
      <c r="E60"/>
      <c r="F60"/>
      <c r="G60"/>
      <c r="H60"/>
      <c r="I60"/>
      <c r="J60"/>
      <c r="K60"/>
      <c r="L60"/>
      <c r="M60"/>
      <c r="N60"/>
      <c r="O60"/>
      <c r="P60"/>
      <c r="Q60"/>
      <c r="R60"/>
      <c r="S60"/>
      <c r="T60"/>
      <c r="U60"/>
      <c r="V60"/>
      <c r="W60"/>
      <c r="X60"/>
      <c r="Y60"/>
      <c r="Z60"/>
    </row>
  </sheetData>
  <mergeCells count="4">
    <mergeCell ref="A11:E11"/>
    <mergeCell ref="A1:E1"/>
    <mergeCell ref="A2:E2"/>
    <mergeCell ref="A4:E4"/>
  </mergeCells>
  <pageMargins left="0.7" right="0.7" top="0.75" bottom="0.75" header="0.3" footer="0.3"/>
  <pageSetup paperSize="17"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BFAE6-4212-C84D-8A24-9B6DD915257C}">
  <dimension ref="A1:Q36"/>
  <sheetViews>
    <sheetView workbookViewId="0">
      <pane ySplit="4" topLeftCell="A5" activePane="bottomLeft" state="frozen"/>
      <selection pane="bottomLeft" activeCell="D12" sqref="D12"/>
    </sheetView>
  </sheetViews>
  <sheetFormatPr baseColWidth="10" defaultColWidth="11" defaultRowHeight="16" x14ac:dyDescent="0.2"/>
  <cols>
    <col min="1" max="1" width="10" style="3" customWidth="1"/>
    <col min="2" max="2" width="50" style="3" customWidth="1"/>
    <col min="3" max="3" width="6.33203125" style="3" customWidth="1"/>
    <col min="4" max="4" width="10.33203125" style="3" customWidth="1"/>
    <col min="5" max="5" width="31.6640625" style="3" customWidth="1"/>
    <col min="6" max="6" width="11.6640625" style="3" customWidth="1"/>
    <col min="7" max="7" width="18.33203125" style="3" customWidth="1"/>
    <col min="8" max="8" width="20" style="3" customWidth="1"/>
    <col min="9" max="9" width="17.5" style="3" customWidth="1"/>
    <col min="10" max="10" width="10" style="3" customWidth="1"/>
    <col min="11" max="11" width="38.33203125" style="3" customWidth="1"/>
    <col min="12" max="12" width="15.83203125" style="3" customWidth="1"/>
    <col min="13" max="15" width="13" style="3" customWidth="1"/>
    <col min="16" max="16" width="15.83203125" style="3" customWidth="1"/>
    <col min="17" max="17" width="25" style="3" customWidth="1"/>
  </cols>
  <sheetData>
    <row r="1" spans="1:17" ht="26" customHeight="1" x14ac:dyDescent="0.2">
      <c r="A1" s="249" t="s">
        <v>281</v>
      </c>
      <c r="B1" s="249"/>
      <c r="C1" s="249"/>
      <c r="D1" s="249"/>
      <c r="E1" s="249"/>
      <c r="F1" s="249"/>
      <c r="G1" s="249"/>
      <c r="H1" s="249"/>
      <c r="I1" s="249"/>
      <c r="J1" s="249"/>
      <c r="K1" s="249"/>
      <c r="L1" s="249"/>
      <c r="M1" s="249"/>
      <c r="N1" s="249"/>
      <c r="O1" s="249"/>
      <c r="P1" s="249"/>
      <c r="Q1" s="249"/>
    </row>
    <row r="2" spans="1:17" x14ac:dyDescent="0.2">
      <c r="A2" s="265" t="s">
        <v>282</v>
      </c>
      <c r="B2" s="265"/>
      <c r="C2" s="265"/>
      <c r="D2" s="265"/>
      <c r="E2" s="265"/>
      <c r="F2" s="265"/>
      <c r="G2" s="265"/>
      <c r="H2" s="265"/>
      <c r="I2" s="265"/>
      <c r="J2" s="265"/>
      <c r="K2" s="265"/>
      <c r="L2" s="265"/>
      <c r="M2" s="265"/>
      <c r="N2" s="265"/>
      <c r="O2" s="265"/>
      <c r="P2" s="265"/>
      <c r="Q2" s="265"/>
    </row>
    <row r="3" spans="1:17" x14ac:dyDescent="0.2">
      <c r="A3" s="4"/>
      <c r="B3" s="4"/>
      <c r="C3" s="4"/>
      <c r="D3" s="4"/>
      <c r="E3" s="4"/>
      <c r="F3" s="4"/>
      <c r="G3" s="4"/>
      <c r="H3" s="4"/>
      <c r="I3" s="4"/>
      <c r="J3" s="4"/>
      <c r="K3" s="4"/>
      <c r="L3" s="4"/>
      <c r="M3" s="4"/>
      <c r="N3" s="4"/>
      <c r="O3" s="4"/>
      <c r="P3" s="4"/>
      <c r="Q3" s="4"/>
    </row>
    <row r="4" spans="1:17" ht="44" customHeight="1" x14ac:dyDescent="0.2">
      <c r="A4" s="48" t="s">
        <v>283</v>
      </c>
      <c r="B4" s="48" t="s">
        <v>284</v>
      </c>
      <c r="C4" s="48" t="s">
        <v>285</v>
      </c>
      <c r="D4" s="48" t="s">
        <v>286</v>
      </c>
      <c r="E4" s="48" t="s">
        <v>287</v>
      </c>
      <c r="F4" s="48" t="s">
        <v>288</v>
      </c>
      <c r="G4" s="48" t="s">
        <v>289</v>
      </c>
      <c r="H4" s="48" t="s">
        <v>290</v>
      </c>
      <c r="I4" s="48" t="s">
        <v>291</v>
      </c>
      <c r="J4" s="48" t="s">
        <v>292</v>
      </c>
      <c r="K4" s="48" t="s">
        <v>293</v>
      </c>
      <c r="L4" s="48" t="s">
        <v>294</v>
      </c>
      <c r="M4" s="48" t="s">
        <v>295</v>
      </c>
      <c r="N4" s="48" t="s">
        <v>296</v>
      </c>
      <c r="O4" s="48" t="s">
        <v>297</v>
      </c>
      <c r="P4" s="48" t="s">
        <v>298</v>
      </c>
      <c r="Q4" s="48" t="s">
        <v>299</v>
      </c>
    </row>
    <row r="5" spans="1:17" ht="26" x14ac:dyDescent="0.2">
      <c r="A5" s="70" t="s">
        <v>300</v>
      </c>
      <c r="B5" s="71" t="s">
        <v>301</v>
      </c>
      <c r="C5" s="89">
        <v>4</v>
      </c>
      <c r="D5" s="86" t="str">
        <f t="shared" ref="D5:D36" si="0">IF($C5=4,"Critical",IF($C5=3,"High",IF($C5=2,"Moderate",IF($C5=1,"Low",""))))</f>
        <v>Critical</v>
      </c>
      <c r="E5" s="86" t="str">
        <f t="shared" ref="E5:E36" si="1">IF($C5=4,"Daily follow-up; dual sign-off; QA/QC Mgr at all hold points",IF($C5=3,"Every-other-day follow-up; A/E at First Work Review",IF($C5=2,"Weekly follow-up; Superintendent-led",IF($C5=1,"At completion; Superintendent spot-check",""))))</f>
        <v>Daily follow-up; dual sign-off; QA/QC Mgr at all hold points</v>
      </c>
      <c r="F5" s="72">
        <v>39879</v>
      </c>
      <c r="G5" s="71" t="s">
        <v>302</v>
      </c>
      <c r="H5" s="71"/>
      <c r="I5" s="73" t="s">
        <v>303</v>
      </c>
      <c r="J5" s="71" t="s">
        <v>304</v>
      </c>
      <c r="K5" s="71" t="s">
        <v>305</v>
      </c>
      <c r="L5" s="71" t="s">
        <v>306</v>
      </c>
      <c r="M5" s="74"/>
      <c r="N5" s="74"/>
      <c r="O5" s="74"/>
      <c r="P5" s="74"/>
      <c r="Q5" s="75"/>
    </row>
    <row r="6" spans="1:17" ht="26" x14ac:dyDescent="0.2">
      <c r="A6" s="76" t="s">
        <v>307</v>
      </c>
      <c r="B6" s="77" t="s">
        <v>308</v>
      </c>
      <c r="C6" s="90">
        <v>4</v>
      </c>
      <c r="D6" s="87" t="str">
        <f t="shared" si="0"/>
        <v>Critical</v>
      </c>
      <c r="E6" s="87" t="str">
        <f t="shared" si="1"/>
        <v>Daily follow-up; dual sign-off; QA/QC Mgr at all hold points</v>
      </c>
      <c r="F6" s="77">
        <v>7</v>
      </c>
      <c r="G6" s="77" t="s">
        <v>309</v>
      </c>
      <c r="H6" s="77"/>
      <c r="I6" s="78" t="s">
        <v>310</v>
      </c>
      <c r="J6" s="77" t="s">
        <v>304</v>
      </c>
      <c r="K6" s="77" t="s">
        <v>311</v>
      </c>
      <c r="L6" s="77" t="s">
        <v>306</v>
      </c>
      <c r="M6" s="79"/>
      <c r="N6" s="79"/>
      <c r="O6" s="79"/>
      <c r="P6" s="79"/>
      <c r="Q6" s="80"/>
    </row>
    <row r="7" spans="1:17" ht="26" x14ac:dyDescent="0.2">
      <c r="A7" s="76" t="s">
        <v>233</v>
      </c>
      <c r="B7" s="77" t="s">
        <v>312</v>
      </c>
      <c r="C7" s="90">
        <v>4</v>
      </c>
      <c r="D7" s="87" t="str">
        <f t="shared" si="0"/>
        <v>Critical</v>
      </c>
      <c r="E7" s="87" t="str">
        <f t="shared" si="1"/>
        <v>Daily follow-up; dual sign-off; QA/QC Mgr at all hold points</v>
      </c>
      <c r="F7" s="77" t="s">
        <v>313</v>
      </c>
      <c r="G7" s="77" t="s">
        <v>314</v>
      </c>
      <c r="H7" s="77"/>
      <c r="I7" s="78" t="s">
        <v>315</v>
      </c>
      <c r="J7" s="77" t="s">
        <v>316</v>
      </c>
      <c r="K7" s="77" t="s">
        <v>317</v>
      </c>
      <c r="L7" s="77" t="s">
        <v>318</v>
      </c>
      <c r="M7" s="79"/>
      <c r="N7" s="79"/>
      <c r="O7" s="79"/>
      <c r="P7" s="79"/>
      <c r="Q7" s="80"/>
    </row>
    <row r="8" spans="1:17" ht="26" x14ac:dyDescent="0.2">
      <c r="A8" s="76" t="s">
        <v>231</v>
      </c>
      <c r="B8" s="77" t="s">
        <v>319</v>
      </c>
      <c r="C8" s="90">
        <v>4</v>
      </c>
      <c r="D8" s="87" t="str">
        <f t="shared" si="0"/>
        <v>Critical</v>
      </c>
      <c r="E8" s="87" t="str">
        <f t="shared" si="1"/>
        <v>Daily follow-up; dual sign-off; QA/QC Mgr at all hold points</v>
      </c>
      <c r="F8" s="77" t="s">
        <v>320</v>
      </c>
      <c r="G8" s="77" t="s">
        <v>314</v>
      </c>
      <c r="H8" s="77"/>
      <c r="I8" s="78" t="s">
        <v>303</v>
      </c>
      <c r="J8" s="77" t="s">
        <v>316</v>
      </c>
      <c r="K8" s="77" t="s">
        <v>321</v>
      </c>
      <c r="L8" s="77" t="s">
        <v>318</v>
      </c>
      <c r="M8" s="79"/>
      <c r="N8" s="79"/>
      <c r="O8" s="79"/>
      <c r="P8" s="79"/>
      <c r="Q8" s="80"/>
    </row>
    <row r="9" spans="1:17" ht="26" x14ac:dyDescent="0.2">
      <c r="A9" s="76" t="s">
        <v>225</v>
      </c>
      <c r="B9" s="77" t="s">
        <v>322</v>
      </c>
      <c r="C9" s="90">
        <v>4</v>
      </c>
      <c r="D9" s="87" t="str">
        <f t="shared" si="0"/>
        <v>Critical</v>
      </c>
      <c r="E9" s="87" t="str">
        <f t="shared" si="1"/>
        <v>Daily follow-up; dual sign-off; QA/QC Mgr at all hold points</v>
      </c>
      <c r="F9" s="77" t="s">
        <v>323</v>
      </c>
      <c r="G9" s="77" t="s">
        <v>324</v>
      </c>
      <c r="H9" s="77"/>
      <c r="I9" s="78" t="s">
        <v>315</v>
      </c>
      <c r="J9" s="77" t="s">
        <v>316</v>
      </c>
      <c r="K9" s="77" t="s">
        <v>325</v>
      </c>
      <c r="L9" s="77" t="s">
        <v>326</v>
      </c>
      <c r="M9" s="79"/>
      <c r="N9" s="79"/>
      <c r="O9" s="79"/>
      <c r="P9" s="79"/>
      <c r="Q9" s="80"/>
    </row>
    <row r="10" spans="1:17" ht="26" x14ac:dyDescent="0.2">
      <c r="A10" s="76" t="s">
        <v>327</v>
      </c>
      <c r="B10" s="77" t="s">
        <v>328</v>
      </c>
      <c r="C10" s="90">
        <v>4</v>
      </c>
      <c r="D10" s="87" t="str">
        <f t="shared" si="0"/>
        <v>Critical</v>
      </c>
      <c r="E10" s="87" t="str">
        <f t="shared" si="1"/>
        <v>Daily follow-up; dual sign-off; QA/QC Mgr at all hold points</v>
      </c>
      <c r="F10" s="77" t="s">
        <v>329</v>
      </c>
      <c r="G10" s="77" t="s">
        <v>330</v>
      </c>
      <c r="H10" s="77"/>
      <c r="I10" s="78" t="s">
        <v>303</v>
      </c>
      <c r="J10" s="77" t="s">
        <v>316</v>
      </c>
      <c r="K10" s="77" t="s">
        <v>331</v>
      </c>
      <c r="L10" s="77" t="s">
        <v>332</v>
      </c>
      <c r="M10" s="79"/>
      <c r="N10" s="79"/>
      <c r="O10" s="79"/>
      <c r="P10" s="79"/>
      <c r="Q10" s="80"/>
    </row>
    <row r="11" spans="1:17" ht="26" x14ac:dyDescent="0.2">
      <c r="A11" s="76" t="s">
        <v>193</v>
      </c>
      <c r="B11" s="77" t="s">
        <v>333</v>
      </c>
      <c r="C11" s="90">
        <v>3</v>
      </c>
      <c r="D11" s="87" t="str">
        <f t="shared" si="0"/>
        <v>High</v>
      </c>
      <c r="E11" s="87" t="str">
        <f t="shared" si="1"/>
        <v>Every-other-day follow-up; A/E at First Work Review</v>
      </c>
      <c r="F11" s="77" t="s">
        <v>334</v>
      </c>
      <c r="G11" s="77" t="s">
        <v>335</v>
      </c>
      <c r="H11" s="77"/>
      <c r="I11" s="78" t="s">
        <v>303</v>
      </c>
      <c r="J11" s="77" t="s">
        <v>316</v>
      </c>
      <c r="K11" s="77" t="s">
        <v>336</v>
      </c>
      <c r="L11" s="77" t="s">
        <v>337</v>
      </c>
      <c r="M11" s="79"/>
      <c r="N11" s="79"/>
      <c r="O11" s="79"/>
      <c r="P11" s="79"/>
      <c r="Q11" s="80"/>
    </row>
    <row r="12" spans="1:17" ht="26" x14ac:dyDescent="0.2">
      <c r="A12" s="76" t="s">
        <v>191</v>
      </c>
      <c r="B12" s="77" t="s">
        <v>338</v>
      </c>
      <c r="C12" s="90">
        <v>3</v>
      </c>
      <c r="D12" s="87" t="str">
        <f t="shared" si="0"/>
        <v>High</v>
      </c>
      <c r="E12" s="87" t="str">
        <f t="shared" si="1"/>
        <v>Every-other-day follow-up; A/E at First Work Review</v>
      </c>
      <c r="F12" s="77" t="s">
        <v>339</v>
      </c>
      <c r="G12" s="77" t="s">
        <v>335</v>
      </c>
      <c r="H12" s="77"/>
      <c r="I12" s="78" t="s">
        <v>303</v>
      </c>
      <c r="J12" s="77" t="s">
        <v>316</v>
      </c>
      <c r="K12" s="77" t="s">
        <v>340</v>
      </c>
      <c r="L12" s="77" t="s">
        <v>341</v>
      </c>
      <c r="M12" s="79"/>
      <c r="N12" s="79"/>
      <c r="O12" s="79"/>
      <c r="P12" s="79"/>
      <c r="Q12" s="80"/>
    </row>
    <row r="13" spans="1:17" ht="26" x14ac:dyDescent="0.2">
      <c r="A13" s="76" t="s">
        <v>342</v>
      </c>
      <c r="B13" s="77" t="s">
        <v>343</v>
      </c>
      <c r="C13" s="90">
        <v>3</v>
      </c>
      <c r="D13" s="87" t="str">
        <f t="shared" si="0"/>
        <v>High</v>
      </c>
      <c r="E13" s="87" t="str">
        <f t="shared" si="1"/>
        <v>Every-other-day follow-up; A/E at First Work Review</v>
      </c>
      <c r="F13" s="77" t="s">
        <v>344</v>
      </c>
      <c r="G13" s="77" t="s">
        <v>345</v>
      </c>
      <c r="H13" s="77"/>
      <c r="I13" s="78" t="s">
        <v>315</v>
      </c>
      <c r="J13" s="77" t="s">
        <v>316</v>
      </c>
      <c r="K13" s="77" t="s">
        <v>346</v>
      </c>
      <c r="L13" s="77" t="s">
        <v>347</v>
      </c>
      <c r="M13" s="79"/>
      <c r="N13" s="79"/>
      <c r="O13" s="79"/>
      <c r="P13" s="79"/>
      <c r="Q13" s="80"/>
    </row>
    <row r="14" spans="1:17" ht="26" x14ac:dyDescent="0.2">
      <c r="A14" s="76" t="s">
        <v>348</v>
      </c>
      <c r="B14" s="77" t="s">
        <v>349</v>
      </c>
      <c r="C14" s="90">
        <v>3</v>
      </c>
      <c r="D14" s="87" t="str">
        <f t="shared" si="0"/>
        <v>High</v>
      </c>
      <c r="E14" s="87" t="str">
        <f t="shared" si="1"/>
        <v>Every-other-day follow-up; A/E at First Work Review</v>
      </c>
      <c r="F14" s="77" t="s">
        <v>350</v>
      </c>
      <c r="G14" s="77" t="s">
        <v>351</v>
      </c>
      <c r="H14" s="77"/>
      <c r="I14" s="78" t="s">
        <v>315</v>
      </c>
      <c r="J14" s="77" t="s">
        <v>316</v>
      </c>
      <c r="K14" s="77" t="s">
        <v>352</v>
      </c>
      <c r="L14" s="77" t="s">
        <v>353</v>
      </c>
      <c r="M14" s="79"/>
      <c r="N14" s="79"/>
      <c r="O14" s="79"/>
      <c r="P14" s="79"/>
      <c r="Q14" s="80"/>
    </row>
    <row r="15" spans="1:17" ht="26" x14ac:dyDescent="0.2">
      <c r="A15" s="76" t="s">
        <v>354</v>
      </c>
      <c r="B15" s="77" t="s">
        <v>355</v>
      </c>
      <c r="C15" s="90">
        <v>3</v>
      </c>
      <c r="D15" s="87" t="str">
        <f t="shared" si="0"/>
        <v>High</v>
      </c>
      <c r="E15" s="87" t="str">
        <f t="shared" si="1"/>
        <v>Every-other-day follow-up; A/E at First Work Review</v>
      </c>
      <c r="F15" s="77" t="s">
        <v>356</v>
      </c>
      <c r="G15" s="77" t="s">
        <v>357</v>
      </c>
      <c r="H15" s="77"/>
      <c r="I15" s="78" t="s">
        <v>303</v>
      </c>
      <c r="J15" s="77" t="s">
        <v>316</v>
      </c>
      <c r="K15" s="77" t="s">
        <v>358</v>
      </c>
      <c r="L15" s="77" t="s">
        <v>353</v>
      </c>
      <c r="M15" s="79"/>
      <c r="N15" s="79"/>
      <c r="O15" s="79"/>
      <c r="P15" s="79"/>
      <c r="Q15" s="80"/>
    </row>
    <row r="16" spans="1:17" ht="26" x14ac:dyDescent="0.2">
      <c r="A16" s="76" t="s">
        <v>359</v>
      </c>
      <c r="B16" s="77" t="s">
        <v>360</v>
      </c>
      <c r="C16" s="90">
        <v>3</v>
      </c>
      <c r="D16" s="87" t="str">
        <f t="shared" si="0"/>
        <v>High</v>
      </c>
      <c r="E16" s="87" t="str">
        <f t="shared" si="1"/>
        <v>Every-other-day follow-up; A/E at First Work Review</v>
      </c>
      <c r="F16" s="77" t="s">
        <v>361</v>
      </c>
      <c r="G16" s="77" t="s">
        <v>362</v>
      </c>
      <c r="H16" s="77"/>
      <c r="I16" s="78" t="s">
        <v>315</v>
      </c>
      <c r="J16" s="77" t="s">
        <v>316</v>
      </c>
      <c r="K16" s="77" t="s">
        <v>363</v>
      </c>
      <c r="L16" s="77" t="s">
        <v>364</v>
      </c>
      <c r="M16" s="79"/>
      <c r="N16" s="79"/>
      <c r="O16" s="79"/>
      <c r="P16" s="79"/>
      <c r="Q16" s="80"/>
    </row>
    <row r="17" spans="1:17" ht="26" x14ac:dyDescent="0.2">
      <c r="A17" s="76" t="s">
        <v>365</v>
      </c>
      <c r="B17" s="77" t="s">
        <v>366</v>
      </c>
      <c r="C17" s="90">
        <v>3</v>
      </c>
      <c r="D17" s="87" t="str">
        <f t="shared" si="0"/>
        <v>High</v>
      </c>
      <c r="E17" s="87" t="str">
        <f t="shared" si="1"/>
        <v>Every-other-day follow-up; A/E at First Work Review</v>
      </c>
      <c r="F17" s="77" t="s">
        <v>367</v>
      </c>
      <c r="G17" s="77" t="s">
        <v>357</v>
      </c>
      <c r="H17" s="77"/>
      <c r="I17" s="78" t="s">
        <v>303</v>
      </c>
      <c r="J17" s="77" t="s">
        <v>316</v>
      </c>
      <c r="K17" s="77" t="s">
        <v>368</v>
      </c>
      <c r="L17" s="77" t="s">
        <v>332</v>
      </c>
      <c r="M17" s="79"/>
      <c r="N17" s="79"/>
      <c r="O17" s="79"/>
      <c r="P17" s="79"/>
      <c r="Q17" s="80"/>
    </row>
    <row r="18" spans="1:17" ht="26" x14ac:dyDescent="0.2">
      <c r="A18" s="76" t="s">
        <v>215</v>
      </c>
      <c r="B18" s="77" t="s">
        <v>369</v>
      </c>
      <c r="C18" s="90">
        <v>3</v>
      </c>
      <c r="D18" s="87" t="str">
        <f t="shared" si="0"/>
        <v>High</v>
      </c>
      <c r="E18" s="87" t="str">
        <f t="shared" si="1"/>
        <v>Every-other-day follow-up; A/E at First Work Review</v>
      </c>
      <c r="F18" s="77" t="s">
        <v>370</v>
      </c>
      <c r="G18" s="77" t="s">
        <v>357</v>
      </c>
      <c r="H18" s="77"/>
      <c r="I18" s="78" t="s">
        <v>303</v>
      </c>
      <c r="J18" s="77" t="s">
        <v>304</v>
      </c>
      <c r="K18" s="77" t="s">
        <v>371</v>
      </c>
      <c r="L18" s="77" t="s">
        <v>364</v>
      </c>
      <c r="M18" s="79"/>
      <c r="N18" s="79"/>
      <c r="O18" s="79"/>
      <c r="P18" s="79"/>
      <c r="Q18" s="80"/>
    </row>
    <row r="19" spans="1:17" ht="26" x14ac:dyDescent="0.2">
      <c r="A19" s="76" t="s">
        <v>209</v>
      </c>
      <c r="B19" s="77" t="s">
        <v>372</v>
      </c>
      <c r="C19" s="90">
        <v>3</v>
      </c>
      <c r="D19" s="87" t="str">
        <f t="shared" si="0"/>
        <v>High</v>
      </c>
      <c r="E19" s="87" t="str">
        <f t="shared" si="1"/>
        <v>Every-other-day follow-up; A/E at First Work Review</v>
      </c>
      <c r="F19" s="77" t="s">
        <v>373</v>
      </c>
      <c r="G19" s="77" t="s">
        <v>314</v>
      </c>
      <c r="H19" s="77"/>
      <c r="I19" s="78" t="s">
        <v>303</v>
      </c>
      <c r="J19" s="77" t="s">
        <v>304</v>
      </c>
      <c r="K19" s="77" t="s">
        <v>374</v>
      </c>
      <c r="L19" s="77" t="s">
        <v>375</v>
      </c>
      <c r="M19" s="79"/>
      <c r="N19" s="79"/>
      <c r="O19" s="79"/>
      <c r="P19" s="79"/>
      <c r="Q19" s="80"/>
    </row>
    <row r="20" spans="1:17" ht="26" x14ac:dyDescent="0.2">
      <c r="A20" s="76" t="s">
        <v>221</v>
      </c>
      <c r="B20" s="77" t="s">
        <v>376</v>
      </c>
      <c r="C20" s="90">
        <v>3</v>
      </c>
      <c r="D20" s="87" t="str">
        <f t="shared" si="0"/>
        <v>High</v>
      </c>
      <c r="E20" s="87" t="str">
        <f t="shared" si="1"/>
        <v>Every-other-day follow-up; A/E at First Work Review</v>
      </c>
      <c r="F20" s="77" t="s">
        <v>377</v>
      </c>
      <c r="G20" s="77" t="s">
        <v>357</v>
      </c>
      <c r="H20" s="77"/>
      <c r="I20" s="78" t="s">
        <v>315</v>
      </c>
      <c r="J20" s="77" t="s">
        <v>304</v>
      </c>
      <c r="K20" s="77" t="s">
        <v>378</v>
      </c>
      <c r="L20" s="77" t="s">
        <v>364</v>
      </c>
      <c r="M20" s="79"/>
      <c r="N20" s="79"/>
      <c r="O20" s="79"/>
      <c r="P20" s="79"/>
      <c r="Q20" s="80"/>
    </row>
    <row r="21" spans="1:17" ht="26" x14ac:dyDescent="0.2">
      <c r="A21" s="76" t="s">
        <v>379</v>
      </c>
      <c r="B21" s="77" t="s">
        <v>380</v>
      </c>
      <c r="C21" s="90">
        <v>3</v>
      </c>
      <c r="D21" s="87" t="str">
        <f t="shared" si="0"/>
        <v>High</v>
      </c>
      <c r="E21" s="87" t="str">
        <f t="shared" si="1"/>
        <v>Every-other-day follow-up; A/E at First Work Review</v>
      </c>
      <c r="F21" s="77" t="s">
        <v>381</v>
      </c>
      <c r="G21" s="77" t="s">
        <v>382</v>
      </c>
      <c r="H21" s="77"/>
      <c r="I21" s="78" t="s">
        <v>303</v>
      </c>
      <c r="J21" s="77" t="s">
        <v>316</v>
      </c>
      <c r="K21" s="77" t="s">
        <v>383</v>
      </c>
      <c r="L21" s="77" t="s">
        <v>364</v>
      </c>
      <c r="M21" s="79"/>
      <c r="N21" s="79"/>
      <c r="O21" s="79"/>
      <c r="P21" s="79"/>
      <c r="Q21" s="80"/>
    </row>
    <row r="22" spans="1:17" ht="26" x14ac:dyDescent="0.2">
      <c r="A22" s="76" t="s">
        <v>200</v>
      </c>
      <c r="B22" s="77" t="s">
        <v>384</v>
      </c>
      <c r="C22" s="90">
        <v>2</v>
      </c>
      <c r="D22" s="87" t="str">
        <f t="shared" si="0"/>
        <v>Moderate</v>
      </c>
      <c r="E22" s="87" t="str">
        <f t="shared" si="1"/>
        <v>Weekly follow-up; Superintendent-led</v>
      </c>
      <c r="F22" s="77" t="s">
        <v>385</v>
      </c>
      <c r="G22" s="77" t="s">
        <v>357</v>
      </c>
      <c r="H22" s="77"/>
      <c r="I22" s="78" t="s">
        <v>303</v>
      </c>
      <c r="J22" s="77" t="s">
        <v>316</v>
      </c>
      <c r="K22" s="77" t="s">
        <v>386</v>
      </c>
      <c r="L22" s="77" t="s">
        <v>364</v>
      </c>
      <c r="M22" s="79"/>
      <c r="N22" s="79"/>
      <c r="O22" s="79"/>
      <c r="P22" s="79"/>
      <c r="Q22" s="80"/>
    </row>
    <row r="23" spans="1:17" x14ac:dyDescent="0.2">
      <c r="A23" s="76" t="s">
        <v>198</v>
      </c>
      <c r="B23" s="77" t="s">
        <v>387</v>
      </c>
      <c r="C23" s="90">
        <v>2</v>
      </c>
      <c r="D23" s="87" t="str">
        <f t="shared" si="0"/>
        <v>Moderate</v>
      </c>
      <c r="E23" s="87" t="str">
        <f t="shared" si="1"/>
        <v>Weekly follow-up; Superintendent-led</v>
      </c>
      <c r="F23" s="77" t="s">
        <v>388</v>
      </c>
      <c r="G23" s="77" t="s">
        <v>389</v>
      </c>
      <c r="H23" s="77"/>
      <c r="I23" s="78" t="s">
        <v>303</v>
      </c>
      <c r="J23" s="77" t="s">
        <v>304</v>
      </c>
      <c r="K23" s="77" t="s">
        <v>390</v>
      </c>
      <c r="L23" s="77" t="s">
        <v>364</v>
      </c>
      <c r="M23" s="79"/>
      <c r="N23" s="79"/>
      <c r="O23" s="79"/>
      <c r="P23" s="79"/>
      <c r="Q23" s="80"/>
    </row>
    <row r="24" spans="1:17" x14ac:dyDescent="0.2">
      <c r="A24" s="76" t="s">
        <v>207</v>
      </c>
      <c r="B24" s="77" t="s">
        <v>391</v>
      </c>
      <c r="C24" s="90">
        <v>2</v>
      </c>
      <c r="D24" s="87" t="str">
        <f t="shared" si="0"/>
        <v>Moderate</v>
      </c>
      <c r="E24" s="87" t="str">
        <f t="shared" si="1"/>
        <v>Weekly follow-up; Superintendent-led</v>
      </c>
      <c r="F24" s="77" t="s">
        <v>392</v>
      </c>
      <c r="G24" s="77" t="s">
        <v>357</v>
      </c>
      <c r="H24" s="77"/>
      <c r="I24" s="78" t="s">
        <v>303</v>
      </c>
      <c r="J24" s="77" t="s">
        <v>304</v>
      </c>
      <c r="K24" s="77" t="s">
        <v>393</v>
      </c>
      <c r="L24" s="77" t="s">
        <v>364</v>
      </c>
      <c r="M24" s="79"/>
      <c r="N24" s="79"/>
      <c r="O24" s="79"/>
      <c r="P24" s="79"/>
      <c r="Q24" s="80"/>
    </row>
    <row r="25" spans="1:17" x14ac:dyDescent="0.2">
      <c r="A25" s="76" t="s">
        <v>211</v>
      </c>
      <c r="B25" s="77" t="s">
        <v>394</v>
      </c>
      <c r="C25" s="90">
        <v>2</v>
      </c>
      <c r="D25" s="87" t="str">
        <f t="shared" si="0"/>
        <v>Moderate</v>
      </c>
      <c r="E25" s="87" t="str">
        <f t="shared" si="1"/>
        <v>Weekly follow-up; Superintendent-led</v>
      </c>
      <c r="F25" s="77" t="s">
        <v>395</v>
      </c>
      <c r="G25" s="77" t="s">
        <v>314</v>
      </c>
      <c r="H25" s="77"/>
      <c r="I25" s="78" t="s">
        <v>303</v>
      </c>
      <c r="J25" s="77" t="s">
        <v>316</v>
      </c>
      <c r="K25" s="77" t="s">
        <v>390</v>
      </c>
      <c r="L25" s="77" t="s">
        <v>364</v>
      </c>
      <c r="M25" s="79"/>
      <c r="N25" s="79"/>
      <c r="O25" s="79"/>
      <c r="P25" s="79"/>
      <c r="Q25" s="80"/>
    </row>
    <row r="26" spans="1:17" x14ac:dyDescent="0.2">
      <c r="A26" s="76" t="s">
        <v>396</v>
      </c>
      <c r="B26" s="77" t="s">
        <v>397</v>
      </c>
      <c r="C26" s="90">
        <v>2</v>
      </c>
      <c r="D26" s="87" t="str">
        <f t="shared" si="0"/>
        <v>Moderate</v>
      </c>
      <c r="E26" s="87" t="str">
        <f t="shared" si="1"/>
        <v>Weekly follow-up; Superintendent-led</v>
      </c>
      <c r="F26" s="77" t="s">
        <v>398</v>
      </c>
      <c r="G26" s="77" t="s">
        <v>357</v>
      </c>
      <c r="H26" s="77"/>
      <c r="I26" s="78" t="s">
        <v>303</v>
      </c>
      <c r="J26" s="77" t="s">
        <v>316</v>
      </c>
      <c r="K26" s="77" t="s">
        <v>399</v>
      </c>
      <c r="L26" s="77" t="s">
        <v>364</v>
      </c>
      <c r="M26" s="79"/>
      <c r="N26" s="79"/>
      <c r="O26" s="79"/>
      <c r="P26" s="79"/>
      <c r="Q26" s="80"/>
    </row>
    <row r="27" spans="1:17" x14ac:dyDescent="0.2">
      <c r="A27" s="76" t="s">
        <v>400</v>
      </c>
      <c r="B27" s="77" t="s">
        <v>401</v>
      </c>
      <c r="C27" s="90">
        <v>2</v>
      </c>
      <c r="D27" s="87" t="str">
        <f t="shared" si="0"/>
        <v>Moderate</v>
      </c>
      <c r="E27" s="87" t="str">
        <f t="shared" si="1"/>
        <v>Weekly follow-up; Superintendent-led</v>
      </c>
      <c r="F27" s="77" t="s">
        <v>402</v>
      </c>
      <c r="G27" s="77" t="s">
        <v>357</v>
      </c>
      <c r="H27" s="77"/>
      <c r="I27" s="78" t="s">
        <v>315</v>
      </c>
      <c r="J27" s="77" t="s">
        <v>316</v>
      </c>
      <c r="K27" s="77" t="s">
        <v>399</v>
      </c>
      <c r="L27" s="77" t="s">
        <v>364</v>
      </c>
      <c r="M27" s="79"/>
      <c r="N27" s="79"/>
      <c r="O27" s="79"/>
      <c r="P27" s="79"/>
      <c r="Q27" s="80"/>
    </row>
    <row r="28" spans="1:17" x14ac:dyDescent="0.2">
      <c r="A28" s="76" t="s">
        <v>403</v>
      </c>
      <c r="B28" s="77" t="s">
        <v>404</v>
      </c>
      <c r="C28" s="90">
        <v>2</v>
      </c>
      <c r="D28" s="87" t="str">
        <f t="shared" si="0"/>
        <v>Moderate</v>
      </c>
      <c r="E28" s="87" t="str">
        <f t="shared" si="1"/>
        <v>Weekly follow-up; Superintendent-led</v>
      </c>
      <c r="F28" s="77" t="s">
        <v>405</v>
      </c>
      <c r="G28" s="77" t="s">
        <v>357</v>
      </c>
      <c r="H28" s="77"/>
      <c r="I28" s="78" t="s">
        <v>315</v>
      </c>
      <c r="J28" s="77" t="s">
        <v>316</v>
      </c>
      <c r="K28" s="77" t="s">
        <v>406</v>
      </c>
      <c r="L28" s="77" t="s">
        <v>364</v>
      </c>
      <c r="M28" s="79"/>
      <c r="N28" s="79"/>
      <c r="O28" s="79"/>
      <c r="P28" s="79"/>
      <c r="Q28" s="80"/>
    </row>
    <row r="29" spans="1:17" ht="26" x14ac:dyDescent="0.2">
      <c r="A29" s="76" t="s">
        <v>219</v>
      </c>
      <c r="B29" s="77" t="s">
        <v>407</v>
      </c>
      <c r="C29" s="90">
        <v>2</v>
      </c>
      <c r="D29" s="87" t="str">
        <f t="shared" si="0"/>
        <v>Moderate</v>
      </c>
      <c r="E29" s="87" t="str">
        <f t="shared" si="1"/>
        <v>Weekly follow-up; Superintendent-led</v>
      </c>
      <c r="F29" s="77" t="s">
        <v>408</v>
      </c>
      <c r="G29" s="77" t="s">
        <v>357</v>
      </c>
      <c r="H29" s="77"/>
      <c r="I29" s="78" t="s">
        <v>303</v>
      </c>
      <c r="J29" s="77" t="s">
        <v>316</v>
      </c>
      <c r="K29" s="77" t="s">
        <v>409</v>
      </c>
      <c r="L29" s="77" t="s">
        <v>364</v>
      </c>
      <c r="M29" s="79"/>
      <c r="N29" s="79"/>
      <c r="O29" s="79"/>
      <c r="P29" s="79"/>
      <c r="Q29" s="80"/>
    </row>
    <row r="30" spans="1:17" x14ac:dyDescent="0.2">
      <c r="A30" s="76" t="s">
        <v>410</v>
      </c>
      <c r="B30" s="77" t="s">
        <v>411</v>
      </c>
      <c r="C30" s="90">
        <v>2</v>
      </c>
      <c r="D30" s="87" t="str">
        <f t="shared" si="0"/>
        <v>Moderate</v>
      </c>
      <c r="E30" s="87" t="str">
        <f t="shared" si="1"/>
        <v>Weekly follow-up; Superintendent-led</v>
      </c>
      <c r="F30" s="77" t="s">
        <v>412</v>
      </c>
      <c r="G30" s="77" t="s">
        <v>314</v>
      </c>
      <c r="H30" s="77"/>
      <c r="I30" s="78" t="s">
        <v>303</v>
      </c>
      <c r="J30" s="77" t="s">
        <v>316</v>
      </c>
      <c r="K30" s="77" t="s">
        <v>413</v>
      </c>
      <c r="L30" s="77" t="s">
        <v>364</v>
      </c>
      <c r="M30" s="79"/>
      <c r="N30" s="79"/>
      <c r="O30" s="79"/>
      <c r="P30" s="79"/>
      <c r="Q30" s="80"/>
    </row>
    <row r="31" spans="1:17" x14ac:dyDescent="0.2">
      <c r="A31" s="76" t="s">
        <v>217</v>
      </c>
      <c r="B31" s="77" t="s">
        <v>414</v>
      </c>
      <c r="C31" s="90">
        <v>2</v>
      </c>
      <c r="D31" s="87" t="str">
        <f t="shared" si="0"/>
        <v>Moderate</v>
      </c>
      <c r="E31" s="87" t="str">
        <f t="shared" si="1"/>
        <v>Weekly follow-up; Superintendent-led</v>
      </c>
      <c r="F31" s="77" t="s">
        <v>415</v>
      </c>
      <c r="G31" s="77" t="s">
        <v>416</v>
      </c>
      <c r="H31" s="77"/>
      <c r="I31" s="78" t="s">
        <v>303</v>
      </c>
      <c r="J31" s="77" t="s">
        <v>304</v>
      </c>
      <c r="K31" s="77" t="s">
        <v>417</v>
      </c>
      <c r="L31" s="77" t="s">
        <v>364</v>
      </c>
      <c r="M31" s="79"/>
      <c r="N31" s="79"/>
      <c r="O31" s="79"/>
      <c r="P31" s="79"/>
      <c r="Q31" s="80"/>
    </row>
    <row r="32" spans="1:17" x14ac:dyDescent="0.2">
      <c r="A32" s="76" t="s">
        <v>223</v>
      </c>
      <c r="B32" s="77" t="s">
        <v>418</v>
      </c>
      <c r="C32" s="90">
        <v>1</v>
      </c>
      <c r="D32" s="87" t="str">
        <f t="shared" si="0"/>
        <v>Low</v>
      </c>
      <c r="E32" s="87" t="str">
        <f t="shared" si="1"/>
        <v>At completion; Superintendent spot-check</v>
      </c>
      <c r="F32" s="77" t="s">
        <v>419</v>
      </c>
      <c r="G32" s="77" t="s">
        <v>314</v>
      </c>
      <c r="H32" s="77"/>
      <c r="I32" s="78" t="s">
        <v>303</v>
      </c>
      <c r="J32" s="77" t="s">
        <v>304</v>
      </c>
      <c r="K32" s="77" t="s">
        <v>390</v>
      </c>
      <c r="L32" s="77" t="s">
        <v>364</v>
      </c>
      <c r="M32" s="79"/>
      <c r="N32" s="79"/>
      <c r="O32" s="79"/>
      <c r="P32" s="79"/>
      <c r="Q32" s="80"/>
    </row>
    <row r="33" spans="1:17" x14ac:dyDescent="0.2">
      <c r="A33" s="76" t="s">
        <v>420</v>
      </c>
      <c r="B33" s="77" t="s">
        <v>421</v>
      </c>
      <c r="C33" s="90">
        <v>1</v>
      </c>
      <c r="D33" s="87" t="str">
        <f t="shared" si="0"/>
        <v>Low</v>
      </c>
      <c r="E33" s="87" t="str">
        <f t="shared" si="1"/>
        <v>At completion; Superintendent spot-check</v>
      </c>
      <c r="F33" s="77" t="s">
        <v>422</v>
      </c>
      <c r="G33" s="77" t="s">
        <v>357</v>
      </c>
      <c r="H33" s="77"/>
      <c r="I33" s="78" t="s">
        <v>303</v>
      </c>
      <c r="J33" s="77" t="s">
        <v>304</v>
      </c>
      <c r="K33" s="77" t="s">
        <v>390</v>
      </c>
      <c r="L33" s="77" t="s">
        <v>364</v>
      </c>
      <c r="M33" s="79"/>
      <c r="N33" s="79"/>
      <c r="O33" s="79"/>
      <c r="P33" s="79"/>
      <c r="Q33" s="80"/>
    </row>
    <row r="34" spans="1:17" ht="26" x14ac:dyDescent="0.2">
      <c r="A34" s="76" t="s">
        <v>423</v>
      </c>
      <c r="B34" s="77" t="s">
        <v>424</v>
      </c>
      <c r="C34" s="90">
        <v>1</v>
      </c>
      <c r="D34" s="87" t="str">
        <f t="shared" si="0"/>
        <v>Low</v>
      </c>
      <c r="E34" s="87" t="str">
        <f t="shared" si="1"/>
        <v>At completion; Superintendent spot-check</v>
      </c>
      <c r="F34" s="77" t="s">
        <v>425</v>
      </c>
      <c r="G34" s="77" t="s">
        <v>426</v>
      </c>
      <c r="H34" s="77"/>
      <c r="I34" s="78" t="s">
        <v>303</v>
      </c>
      <c r="J34" s="77" t="s">
        <v>316</v>
      </c>
      <c r="K34" s="77" t="s">
        <v>427</v>
      </c>
      <c r="L34" s="77" t="s">
        <v>364</v>
      </c>
      <c r="M34" s="79"/>
      <c r="N34" s="79"/>
      <c r="O34" s="79"/>
      <c r="P34" s="79"/>
      <c r="Q34" s="80"/>
    </row>
    <row r="35" spans="1:17" x14ac:dyDescent="0.2">
      <c r="A35" s="76" t="s">
        <v>428</v>
      </c>
      <c r="B35" s="77" t="s">
        <v>429</v>
      </c>
      <c r="C35" s="90">
        <v>1</v>
      </c>
      <c r="D35" s="87" t="str">
        <f t="shared" si="0"/>
        <v>Low</v>
      </c>
      <c r="E35" s="87" t="str">
        <f t="shared" si="1"/>
        <v>At completion; Superintendent spot-check</v>
      </c>
      <c r="F35" s="77" t="s">
        <v>430</v>
      </c>
      <c r="G35" s="77" t="s">
        <v>314</v>
      </c>
      <c r="H35" s="77"/>
      <c r="I35" s="78" t="s">
        <v>315</v>
      </c>
      <c r="J35" s="77" t="s">
        <v>316</v>
      </c>
      <c r="K35" s="77" t="s">
        <v>427</v>
      </c>
      <c r="L35" s="77" t="s">
        <v>364</v>
      </c>
      <c r="M35" s="79"/>
      <c r="N35" s="79"/>
      <c r="O35" s="79"/>
      <c r="P35" s="79"/>
      <c r="Q35" s="80"/>
    </row>
    <row r="36" spans="1:17" x14ac:dyDescent="0.2">
      <c r="A36" s="81" t="s">
        <v>431</v>
      </c>
      <c r="B36" s="82" t="s">
        <v>432</v>
      </c>
      <c r="C36" s="91">
        <v>1</v>
      </c>
      <c r="D36" s="88" t="str">
        <f t="shared" si="0"/>
        <v>Low</v>
      </c>
      <c r="E36" s="88" t="str">
        <f t="shared" si="1"/>
        <v>At completion; Superintendent spot-check</v>
      </c>
      <c r="F36" s="82" t="s">
        <v>433</v>
      </c>
      <c r="G36" s="82" t="s">
        <v>314</v>
      </c>
      <c r="H36" s="82"/>
      <c r="I36" s="83" t="s">
        <v>303</v>
      </c>
      <c r="J36" s="82" t="s">
        <v>316</v>
      </c>
      <c r="K36" s="82" t="s">
        <v>427</v>
      </c>
      <c r="L36" s="82" t="s">
        <v>364</v>
      </c>
      <c r="M36" s="84"/>
      <c r="N36" s="84"/>
      <c r="O36" s="84"/>
      <c r="P36" s="84"/>
      <c r="Q36" s="85"/>
    </row>
  </sheetData>
  <mergeCells count="2">
    <mergeCell ref="A1:Q1"/>
    <mergeCell ref="A2:Q2"/>
  </mergeCells>
  <conditionalFormatting sqref="C5:C36">
    <cfRule type="cellIs" dxfId="144" priority="1" operator="equal">
      <formula>4</formula>
    </cfRule>
    <cfRule type="cellIs" dxfId="143" priority="2" operator="equal">
      <formula>3</formula>
    </cfRule>
    <cfRule type="cellIs" dxfId="142" priority="3" operator="equal">
      <formula>2</formula>
    </cfRule>
    <cfRule type="cellIs" dxfId="141" priority="4" operator="equal">
      <formula>1</formula>
    </cfRule>
  </conditionalFormatting>
  <dataValidations count="1">
    <dataValidation type="list" allowBlank="1" showInputMessage="1" showErrorMessage="1" sqref="P5:P36" xr:uid="{E9DD8406-14FC-E64B-BF68-592B580B78F8}">
      <formula1>"Not Started,In Progress,Complete,N/A"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A14D-65E0-DA42-AC7F-8EA9BE218EE1}">
  <dimension ref="A1:O35"/>
  <sheetViews>
    <sheetView workbookViewId="0">
      <pane ySplit="4" topLeftCell="A10" activePane="bottomLeft" state="frozen"/>
      <selection pane="bottomLeft" activeCell="D12" sqref="D12"/>
    </sheetView>
  </sheetViews>
  <sheetFormatPr baseColWidth="10" defaultColWidth="11" defaultRowHeight="16" x14ac:dyDescent="0.2"/>
  <cols>
    <col min="1" max="2" width="9.6640625" style="3" customWidth="1"/>
    <col min="3" max="3" width="41.6640625" style="3" customWidth="1"/>
    <col min="4" max="5" width="25" style="3" customWidth="1"/>
    <col min="6" max="6" width="33.33203125" style="3" customWidth="1"/>
    <col min="7" max="8" width="25" style="3" customWidth="1"/>
    <col min="9" max="9" width="6.33203125" style="3" customWidth="1"/>
    <col min="10" max="10" width="10.83203125" style="3"/>
    <col min="11" max="11" width="13" style="3" customWidth="1"/>
    <col min="12" max="12" width="11.6640625" style="3" customWidth="1"/>
    <col min="13" max="13" width="21.6640625" style="3" customWidth="1"/>
    <col min="14" max="14" width="15" style="3" customWidth="1"/>
    <col min="15" max="15" width="31.6640625" style="3" customWidth="1"/>
  </cols>
  <sheetData>
    <row r="1" spans="1:15" ht="26" customHeight="1" x14ac:dyDescent="0.2">
      <c r="A1" s="249" t="s">
        <v>434</v>
      </c>
      <c r="B1" s="249"/>
      <c r="C1" s="249"/>
      <c r="D1" s="249"/>
      <c r="E1" s="249"/>
      <c r="F1" s="249"/>
      <c r="G1" s="249"/>
      <c r="H1" s="249"/>
      <c r="I1" s="249"/>
      <c r="J1" s="249"/>
      <c r="K1" s="249"/>
      <c r="L1" s="249"/>
      <c r="M1" s="249"/>
      <c r="N1" s="249"/>
      <c r="O1" s="249"/>
    </row>
    <row r="2" spans="1:15" ht="32" customHeight="1" x14ac:dyDescent="0.2">
      <c r="A2" s="257" t="s">
        <v>435</v>
      </c>
      <c r="B2" s="257"/>
      <c r="C2" s="257"/>
      <c r="D2" s="257"/>
      <c r="E2" s="257"/>
      <c r="F2" s="257"/>
      <c r="G2" s="257"/>
      <c r="H2" s="257"/>
      <c r="I2" s="257"/>
      <c r="J2" s="257"/>
      <c r="K2" s="257"/>
      <c r="L2" s="257"/>
      <c r="M2" s="257"/>
      <c r="N2" s="257"/>
      <c r="O2" s="257"/>
    </row>
    <row r="3" spans="1:15" x14ac:dyDescent="0.2">
      <c r="A3" s="4"/>
      <c r="B3" s="4"/>
      <c r="C3" s="4"/>
      <c r="D3" s="4"/>
      <c r="E3" s="4"/>
      <c r="F3" s="4"/>
      <c r="G3" s="4"/>
      <c r="H3" s="4"/>
      <c r="I3" s="4"/>
      <c r="J3" s="4"/>
      <c r="K3" s="4"/>
      <c r="L3" s="4"/>
      <c r="M3" s="4"/>
      <c r="N3" s="4"/>
      <c r="O3" s="4"/>
    </row>
    <row r="4" spans="1:15" ht="44" customHeight="1" x14ac:dyDescent="0.2">
      <c r="A4" s="48" t="s">
        <v>436</v>
      </c>
      <c r="B4" s="48" t="s">
        <v>185</v>
      </c>
      <c r="C4" s="48" t="s">
        <v>437</v>
      </c>
      <c r="D4" s="48" t="s">
        <v>438</v>
      </c>
      <c r="E4" s="48" t="s">
        <v>439</v>
      </c>
      <c r="F4" s="48" t="s">
        <v>440</v>
      </c>
      <c r="G4" s="48" t="s">
        <v>441</v>
      </c>
      <c r="H4" s="48" t="s">
        <v>442</v>
      </c>
      <c r="I4" s="48" t="s">
        <v>443</v>
      </c>
      <c r="J4" s="48" t="s">
        <v>444</v>
      </c>
      <c r="K4" s="48" t="s">
        <v>445</v>
      </c>
      <c r="L4" s="48" t="s">
        <v>446</v>
      </c>
      <c r="M4" s="48" t="s">
        <v>447</v>
      </c>
      <c r="N4" s="48" t="s">
        <v>448</v>
      </c>
      <c r="O4" s="48" t="s">
        <v>449</v>
      </c>
    </row>
    <row r="5" spans="1:15" ht="26" x14ac:dyDescent="0.2">
      <c r="A5" s="92" t="s">
        <v>450</v>
      </c>
      <c r="B5" s="93" t="s">
        <v>193</v>
      </c>
      <c r="C5" s="93" t="s">
        <v>451</v>
      </c>
      <c r="D5" s="93" t="s">
        <v>452</v>
      </c>
      <c r="E5" s="93" t="s">
        <v>453</v>
      </c>
      <c r="F5" s="93" t="s">
        <v>454</v>
      </c>
      <c r="G5" s="93" t="s">
        <v>455</v>
      </c>
      <c r="H5" s="93" t="s">
        <v>456</v>
      </c>
      <c r="I5" s="103" t="s">
        <v>457</v>
      </c>
      <c r="J5" s="93" t="s">
        <v>458</v>
      </c>
      <c r="K5" s="94"/>
      <c r="L5" s="94"/>
      <c r="M5" s="95"/>
      <c r="N5" s="95"/>
      <c r="O5" s="96" t="s">
        <v>459</v>
      </c>
    </row>
    <row r="6" spans="1:15" x14ac:dyDescent="0.2">
      <c r="A6" s="76" t="s">
        <v>460</v>
      </c>
      <c r="B6" s="77" t="s">
        <v>193</v>
      </c>
      <c r="C6" s="77" t="s">
        <v>461</v>
      </c>
      <c r="D6" s="77" t="s">
        <v>462</v>
      </c>
      <c r="E6" s="77" t="s">
        <v>463</v>
      </c>
      <c r="F6" s="77" t="s">
        <v>464</v>
      </c>
      <c r="G6" s="77" t="s">
        <v>465</v>
      </c>
      <c r="H6" s="77" t="s">
        <v>456</v>
      </c>
      <c r="I6" s="90" t="s">
        <v>466</v>
      </c>
      <c r="J6" s="77" t="s">
        <v>458</v>
      </c>
      <c r="K6" s="79"/>
      <c r="L6" s="79"/>
      <c r="M6" s="97"/>
      <c r="N6" s="97"/>
      <c r="O6" s="80" t="s">
        <v>467</v>
      </c>
    </row>
    <row r="7" spans="1:15" ht="26" x14ac:dyDescent="0.2">
      <c r="A7" s="76" t="s">
        <v>468</v>
      </c>
      <c r="B7" s="77" t="s">
        <v>193</v>
      </c>
      <c r="C7" s="77" t="s">
        <v>469</v>
      </c>
      <c r="D7" s="77" t="s">
        <v>470</v>
      </c>
      <c r="E7" s="77" t="s">
        <v>471</v>
      </c>
      <c r="F7" s="77" t="s">
        <v>472</v>
      </c>
      <c r="G7" s="77" t="s">
        <v>473</v>
      </c>
      <c r="H7" s="77" t="s">
        <v>474</v>
      </c>
      <c r="I7" s="90" t="s">
        <v>457</v>
      </c>
      <c r="J7" s="77" t="s">
        <v>458</v>
      </c>
      <c r="K7" s="79"/>
      <c r="L7" s="79"/>
      <c r="M7" s="97"/>
      <c r="N7" s="97"/>
      <c r="O7" s="80" t="s">
        <v>475</v>
      </c>
    </row>
    <row r="8" spans="1:15" ht="26" x14ac:dyDescent="0.2">
      <c r="A8" s="76" t="s">
        <v>476</v>
      </c>
      <c r="B8" s="77" t="s">
        <v>191</v>
      </c>
      <c r="C8" s="77" t="s">
        <v>477</v>
      </c>
      <c r="D8" s="77" t="s">
        <v>478</v>
      </c>
      <c r="E8" s="77" t="s">
        <v>479</v>
      </c>
      <c r="F8" s="77" t="s">
        <v>480</v>
      </c>
      <c r="G8" s="77" t="s">
        <v>481</v>
      </c>
      <c r="H8" s="77" t="s">
        <v>474</v>
      </c>
      <c r="I8" s="90" t="s">
        <v>457</v>
      </c>
      <c r="J8" s="77" t="s">
        <v>458</v>
      </c>
      <c r="K8" s="79"/>
      <c r="L8" s="79"/>
      <c r="M8" s="97"/>
      <c r="N8" s="97"/>
      <c r="O8" s="80" t="s">
        <v>467</v>
      </c>
    </row>
    <row r="9" spans="1:15" ht="26" x14ac:dyDescent="0.2">
      <c r="A9" s="76" t="s">
        <v>482</v>
      </c>
      <c r="B9" s="77" t="s">
        <v>300</v>
      </c>
      <c r="C9" s="77" t="s">
        <v>483</v>
      </c>
      <c r="D9" s="77" t="s">
        <v>484</v>
      </c>
      <c r="E9" s="77" t="s">
        <v>485</v>
      </c>
      <c r="F9" s="77" t="s">
        <v>486</v>
      </c>
      <c r="G9" s="77" t="s">
        <v>487</v>
      </c>
      <c r="H9" s="77" t="s">
        <v>488</v>
      </c>
      <c r="I9" s="90" t="s">
        <v>457</v>
      </c>
      <c r="J9" s="77" t="s">
        <v>458</v>
      </c>
      <c r="K9" s="79"/>
      <c r="L9" s="79"/>
      <c r="M9" s="97"/>
      <c r="N9" s="97"/>
      <c r="O9" s="80" t="s">
        <v>489</v>
      </c>
    </row>
    <row r="10" spans="1:15" ht="26" x14ac:dyDescent="0.2">
      <c r="A10" s="76" t="s">
        <v>490</v>
      </c>
      <c r="B10" s="77" t="s">
        <v>307</v>
      </c>
      <c r="C10" s="77" t="s">
        <v>491</v>
      </c>
      <c r="D10" s="77" t="s">
        <v>492</v>
      </c>
      <c r="E10" s="77" t="s">
        <v>493</v>
      </c>
      <c r="F10" s="77" t="s">
        <v>494</v>
      </c>
      <c r="G10" s="77" t="s">
        <v>495</v>
      </c>
      <c r="H10" s="77" t="s">
        <v>496</v>
      </c>
      <c r="I10" s="90" t="s">
        <v>457</v>
      </c>
      <c r="J10" s="77" t="s">
        <v>497</v>
      </c>
      <c r="K10" s="79"/>
      <c r="L10" s="79"/>
      <c r="M10" s="97"/>
      <c r="N10" s="97"/>
      <c r="O10" s="80" t="s">
        <v>498</v>
      </c>
    </row>
    <row r="11" spans="1:15" ht="26" x14ac:dyDescent="0.2">
      <c r="A11" s="76" t="s">
        <v>499</v>
      </c>
      <c r="B11" s="77" t="s">
        <v>379</v>
      </c>
      <c r="C11" s="77" t="s">
        <v>500</v>
      </c>
      <c r="D11" s="77" t="s">
        <v>501</v>
      </c>
      <c r="E11" s="77" t="s">
        <v>502</v>
      </c>
      <c r="F11" s="77" t="s">
        <v>503</v>
      </c>
      <c r="G11" s="77" t="s">
        <v>504</v>
      </c>
      <c r="H11" s="77" t="s">
        <v>505</v>
      </c>
      <c r="I11" s="90" t="s">
        <v>457</v>
      </c>
      <c r="J11" s="77" t="s">
        <v>458</v>
      </c>
      <c r="K11" s="79"/>
      <c r="L11" s="79"/>
      <c r="M11" s="97"/>
      <c r="N11" s="97"/>
      <c r="O11" s="80" t="s">
        <v>506</v>
      </c>
    </row>
    <row r="12" spans="1:15" ht="26" x14ac:dyDescent="0.2">
      <c r="A12" s="76" t="s">
        <v>507</v>
      </c>
      <c r="B12" s="77" t="s">
        <v>231</v>
      </c>
      <c r="C12" s="77" t="s">
        <v>508</v>
      </c>
      <c r="D12" s="77" t="s">
        <v>509</v>
      </c>
      <c r="E12" s="77" t="s">
        <v>510</v>
      </c>
      <c r="F12" s="77" t="s">
        <v>511</v>
      </c>
      <c r="G12" s="77" t="s">
        <v>512</v>
      </c>
      <c r="H12" s="77" t="s">
        <v>513</v>
      </c>
      <c r="I12" s="90" t="s">
        <v>457</v>
      </c>
      <c r="J12" s="77" t="s">
        <v>497</v>
      </c>
      <c r="K12" s="79"/>
      <c r="L12" s="79"/>
      <c r="M12" s="97"/>
      <c r="N12" s="97"/>
      <c r="O12" s="80" t="s">
        <v>514</v>
      </c>
    </row>
    <row r="13" spans="1:15" ht="26" x14ac:dyDescent="0.2">
      <c r="A13" s="76" t="s">
        <v>515</v>
      </c>
      <c r="B13" s="77" t="s">
        <v>231</v>
      </c>
      <c r="C13" s="77" t="s">
        <v>516</v>
      </c>
      <c r="D13" s="77" t="s">
        <v>517</v>
      </c>
      <c r="E13" s="77" t="s">
        <v>518</v>
      </c>
      <c r="F13" s="77" t="s">
        <v>519</v>
      </c>
      <c r="G13" s="77" t="s">
        <v>520</v>
      </c>
      <c r="H13" s="77" t="s">
        <v>521</v>
      </c>
      <c r="I13" s="90" t="s">
        <v>466</v>
      </c>
      <c r="J13" s="77" t="s">
        <v>497</v>
      </c>
      <c r="K13" s="79"/>
      <c r="L13" s="79"/>
      <c r="M13" s="97"/>
      <c r="N13" s="97"/>
      <c r="O13" s="80" t="s">
        <v>522</v>
      </c>
    </row>
    <row r="14" spans="1:15" ht="26" x14ac:dyDescent="0.2">
      <c r="A14" s="76" t="s">
        <v>523</v>
      </c>
      <c r="B14" s="77" t="s">
        <v>233</v>
      </c>
      <c r="C14" s="77" t="s">
        <v>524</v>
      </c>
      <c r="D14" s="77" t="s">
        <v>525</v>
      </c>
      <c r="E14" s="77" t="s">
        <v>526</v>
      </c>
      <c r="F14" s="77" t="s">
        <v>527</v>
      </c>
      <c r="G14" s="77" t="s">
        <v>528</v>
      </c>
      <c r="H14" s="77" t="s">
        <v>529</v>
      </c>
      <c r="I14" s="90" t="s">
        <v>457</v>
      </c>
      <c r="J14" s="77" t="s">
        <v>497</v>
      </c>
      <c r="K14" s="79"/>
      <c r="L14" s="79"/>
      <c r="M14" s="97"/>
      <c r="N14" s="97"/>
      <c r="O14" s="80" t="s">
        <v>530</v>
      </c>
    </row>
    <row r="15" spans="1:15" ht="26" x14ac:dyDescent="0.2">
      <c r="A15" s="76" t="s">
        <v>531</v>
      </c>
      <c r="B15" s="77" t="s">
        <v>233</v>
      </c>
      <c r="C15" s="77" t="s">
        <v>532</v>
      </c>
      <c r="D15" s="77" t="s">
        <v>533</v>
      </c>
      <c r="E15" s="77" t="s">
        <v>534</v>
      </c>
      <c r="F15" s="77" t="s">
        <v>535</v>
      </c>
      <c r="G15" s="77" t="s">
        <v>536</v>
      </c>
      <c r="H15" s="77" t="s">
        <v>537</v>
      </c>
      <c r="I15" s="90" t="s">
        <v>457</v>
      </c>
      <c r="J15" s="77" t="s">
        <v>497</v>
      </c>
      <c r="K15" s="79"/>
      <c r="L15" s="79"/>
      <c r="M15" s="97"/>
      <c r="N15" s="97"/>
      <c r="O15" s="80" t="s">
        <v>538</v>
      </c>
    </row>
    <row r="16" spans="1:15" ht="26" x14ac:dyDescent="0.2">
      <c r="A16" s="76" t="s">
        <v>539</v>
      </c>
      <c r="B16" s="77" t="s">
        <v>233</v>
      </c>
      <c r="C16" s="77" t="s">
        <v>540</v>
      </c>
      <c r="D16" s="77" t="s">
        <v>541</v>
      </c>
      <c r="E16" s="77" t="s">
        <v>542</v>
      </c>
      <c r="F16" s="77" t="s">
        <v>543</v>
      </c>
      <c r="G16" s="77" t="s">
        <v>544</v>
      </c>
      <c r="H16" s="77" t="s">
        <v>545</v>
      </c>
      <c r="I16" s="90" t="s">
        <v>466</v>
      </c>
      <c r="J16" s="77" t="s">
        <v>546</v>
      </c>
      <c r="K16" s="79"/>
      <c r="L16" s="79"/>
      <c r="M16" s="97"/>
      <c r="N16" s="97"/>
      <c r="O16" s="80" t="s">
        <v>547</v>
      </c>
    </row>
    <row r="17" spans="1:15" ht="26" x14ac:dyDescent="0.2">
      <c r="A17" s="76" t="s">
        <v>548</v>
      </c>
      <c r="B17" s="77" t="s">
        <v>233</v>
      </c>
      <c r="C17" s="77" t="s">
        <v>549</v>
      </c>
      <c r="D17" s="77" t="s">
        <v>550</v>
      </c>
      <c r="E17" s="77" t="s">
        <v>551</v>
      </c>
      <c r="F17" s="77" t="s">
        <v>552</v>
      </c>
      <c r="G17" s="77" t="s">
        <v>520</v>
      </c>
      <c r="H17" s="77" t="s">
        <v>529</v>
      </c>
      <c r="I17" s="90" t="s">
        <v>466</v>
      </c>
      <c r="J17" s="77" t="s">
        <v>497</v>
      </c>
      <c r="K17" s="79"/>
      <c r="L17" s="79"/>
      <c r="M17" s="97"/>
      <c r="N17" s="97"/>
      <c r="O17" s="80" t="s">
        <v>553</v>
      </c>
    </row>
    <row r="18" spans="1:15" ht="26" x14ac:dyDescent="0.2">
      <c r="A18" s="76" t="s">
        <v>554</v>
      </c>
      <c r="B18" s="77" t="s">
        <v>327</v>
      </c>
      <c r="C18" s="77" t="s">
        <v>555</v>
      </c>
      <c r="D18" s="77" t="s">
        <v>556</v>
      </c>
      <c r="E18" s="77" t="s">
        <v>557</v>
      </c>
      <c r="F18" s="77" t="s">
        <v>558</v>
      </c>
      <c r="G18" s="77" t="s">
        <v>559</v>
      </c>
      <c r="H18" s="77" t="s">
        <v>560</v>
      </c>
      <c r="I18" s="90" t="s">
        <v>457</v>
      </c>
      <c r="J18" s="77" t="s">
        <v>497</v>
      </c>
      <c r="K18" s="79"/>
      <c r="L18" s="79"/>
      <c r="M18" s="97"/>
      <c r="N18" s="97"/>
      <c r="O18" s="80" t="s">
        <v>561</v>
      </c>
    </row>
    <row r="19" spans="1:15" ht="26" x14ac:dyDescent="0.2">
      <c r="A19" s="76" t="s">
        <v>562</v>
      </c>
      <c r="B19" s="77" t="s">
        <v>365</v>
      </c>
      <c r="C19" s="77" t="s">
        <v>563</v>
      </c>
      <c r="D19" s="77" t="s">
        <v>564</v>
      </c>
      <c r="E19" s="77" t="s">
        <v>565</v>
      </c>
      <c r="F19" s="77" t="s">
        <v>566</v>
      </c>
      <c r="G19" s="77" t="s">
        <v>567</v>
      </c>
      <c r="H19" s="77" t="s">
        <v>568</v>
      </c>
      <c r="I19" s="90" t="s">
        <v>457</v>
      </c>
      <c r="J19" s="77" t="s">
        <v>497</v>
      </c>
      <c r="K19" s="79"/>
      <c r="L19" s="79"/>
      <c r="M19" s="97"/>
      <c r="N19" s="97"/>
      <c r="O19" s="80" t="s">
        <v>569</v>
      </c>
    </row>
    <row r="20" spans="1:15" ht="26" x14ac:dyDescent="0.2">
      <c r="A20" s="76" t="s">
        <v>570</v>
      </c>
      <c r="B20" s="77" t="s">
        <v>342</v>
      </c>
      <c r="C20" s="77" t="s">
        <v>571</v>
      </c>
      <c r="D20" s="77" t="s">
        <v>572</v>
      </c>
      <c r="E20" s="77" t="s">
        <v>573</v>
      </c>
      <c r="F20" s="77" t="s">
        <v>574</v>
      </c>
      <c r="G20" s="77" t="s">
        <v>575</v>
      </c>
      <c r="H20" s="77" t="s">
        <v>576</v>
      </c>
      <c r="I20" s="90" t="s">
        <v>457</v>
      </c>
      <c r="J20" s="77" t="s">
        <v>458</v>
      </c>
      <c r="K20" s="79"/>
      <c r="L20" s="79"/>
      <c r="M20" s="97"/>
      <c r="N20" s="97"/>
      <c r="O20" s="80" t="s">
        <v>577</v>
      </c>
    </row>
    <row r="21" spans="1:15" ht="26" x14ac:dyDescent="0.2">
      <c r="A21" s="76" t="s">
        <v>578</v>
      </c>
      <c r="B21" s="77" t="s">
        <v>225</v>
      </c>
      <c r="C21" s="77" t="s">
        <v>579</v>
      </c>
      <c r="D21" s="77" t="s">
        <v>580</v>
      </c>
      <c r="E21" s="77" t="s">
        <v>581</v>
      </c>
      <c r="F21" s="77" t="s">
        <v>582</v>
      </c>
      <c r="G21" s="77" t="s">
        <v>583</v>
      </c>
      <c r="H21" s="77" t="s">
        <v>584</v>
      </c>
      <c r="I21" s="90" t="s">
        <v>457</v>
      </c>
      <c r="J21" s="77" t="s">
        <v>458</v>
      </c>
      <c r="K21" s="79"/>
      <c r="L21" s="79"/>
      <c r="M21" s="97"/>
      <c r="N21" s="97"/>
      <c r="O21" s="80" t="s">
        <v>538</v>
      </c>
    </row>
    <row r="22" spans="1:15" ht="26" x14ac:dyDescent="0.2">
      <c r="A22" s="76" t="s">
        <v>585</v>
      </c>
      <c r="B22" s="77" t="s">
        <v>225</v>
      </c>
      <c r="C22" s="77" t="s">
        <v>586</v>
      </c>
      <c r="D22" s="77" t="s">
        <v>587</v>
      </c>
      <c r="E22" s="77" t="s">
        <v>588</v>
      </c>
      <c r="F22" s="77" t="s">
        <v>589</v>
      </c>
      <c r="G22" s="77" t="s">
        <v>590</v>
      </c>
      <c r="H22" s="77" t="s">
        <v>591</v>
      </c>
      <c r="I22" s="90" t="s">
        <v>457</v>
      </c>
      <c r="J22" s="77" t="s">
        <v>592</v>
      </c>
      <c r="K22" s="79"/>
      <c r="L22" s="79"/>
      <c r="M22" s="97"/>
      <c r="N22" s="97"/>
      <c r="O22" s="80" t="s">
        <v>593</v>
      </c>
    </row>
    <row r="23" spans="1:15" ht="26" x14ac:dyDescent="0.2">
      <c r="A23" s="76" t="s">
        <v>594</v>
      </c>
      <c r="B23" s="77" t="s">
        <v>354</v>
      </c>
      <c r="C23" s="77" t="s">
        <v>595</v>
      </c>
      <c r="D23" s="77" t="s">
        <v>596</v>
      </c>
      <c r="E23" s="77" t="s">
        <v>597</v>
      </c>
      <c r="F23" s="77" t="s">
        <v>598</v>
      </c>
      <c r="G23" s="77" t="s">
        <v>599</v>
      </c>
      <c r="H23" s="77" t="s">
        <v>600</v>
      </c>
      <c r="I23" s="90" t="s">
        <v>457</v>
      </c>
      <c r="J23" s="77" t="s">
        <v>458</v>
      </c>
      <c r="K23" s="79"/>
      <c r="L23" s="79"/>
      <c r="M23" s="97"/>
      <c r="N23" s="97"/>
      <c r="O23" s="80" t="s">
        <v>530</v>
      </c>
    </row>
    <row r="24" spans="1:15" ht="26" x14ac:dyDescent="0.2">
      <c r="A24" s="76" t="s">
        <v>601</v>
      </c>
      <c r="B24" s="77" t="s">
        <v>348</v>
      </c>
      <c r="C24" s="77" t="s">
        <v>602</v>
      </c>
      <c r="D24" s="77" t="s">
        <v>603</v>
      </c>
      <c r="E24" s="77" t="s">
        <v>604</v>
      </c>
      <c r="F24" s="77" t="s">
        <v>605</v>
      </c>
      <c r="G24" s="77" t="s">
        <v>606</v>
      </c>
      <c r="H24" s="77" t="s">
        <v>607</v>
      </c>
      <c r="I24" s="90" t="s">
        <v>466</v>
      </c>
      <c r="J24" s="77" t="s">
        <v>458</v>
      </c>
      <c r="K24" s="79"/>
      <c r="L24" s="79"/>
      <c r="M24" s="97"/>
      <c r="N24" s="97"/>
      <c r="O24" s="80" t="s">
        <v>608</v>
      </c>
    </row>
    <row r="25" spans="1:15" x14ac:dyDescent="0.2">
      <c r="A25" s="76" t="s">
        <v>609</v>
      </c>
      <c r="B25" s="77" t="s">
        <v>348</v>
      </c>
      <c r="C25" s="77" t="s">
        <v>610</v>
      </c>
      <c r="D25" s="77" t="s">
        <v>611</v>
      </c>
      <c r="E25" s="77" t="s">
        <v>612</v>
      </c>
      <c r="F25" s="77" t="s">
        <v>613</v>
      </c>
      <c r="G25" s="77" t="s">
        <v>614</v>
      </c>
      <c r="H25" s="77" t="s">
        <v>615</v>
      </c>
      <c r="I25" s="90" t="s">
        <v>466</v>
      </c>
      <c r="J25" s="77" t="s">
        <v>592</v>
      </c>
      <c r="K25" s="79"/>
      <c r="L25" s="79"/>
      <c r="M25" s="97"/>
      <c r="N25" s="97"/>
      <c r="O25" s="80" t="s">
        <v>608</v>
      </c>
    </row>
    <row r="26" spans="1:15" ht="26" x14ac:dyDescent="0.2">
      <c r="A26" s="76" t="s">
        <v>616</v>
      </c>
      <c r="B26" s="77" t="s">
        <v>348</v>
      </c>
      <c r="C26" s="77" t="s">
        <v>617</v>
      </c>
      <c r="D26" s="77" t="s">
        <v>618</v>
      </c>
      <c r="E26" s="77" t="s">
        <v>619</v>
      </c>
      <c r="F26" s="77" t="s">
        <v>620</v>
      </c>
      <c r="G26" s="77" t="s">
        <v>621</v>
      </c>
      <c r="H26" s="77" t="s">
        <v>622</v>
      </c>
      <c r="I26" s="90" t="s">
        <v>457</v>
      </c>
      <c r="J26" s="77" t="s">
        <v>592</v>
      </c>
      <c r="K26" s="79"/>
      <c r="L26" s="79"/>
      <c r="M26" s="97"/>
      <c r="N26" s="97"/>
      <c r="O26" s="80" t="s">
        <v>623</v>
      </c>
    </row>
    <row r="27" spans="1:15" ht="26" x14ac:dyDescent="0.2">
      <c r="A27" s="76" t="s">
        <v>624</v>
      </c>
      <c r="B27" s="77" t="s">
        <v>359</v>
      </c>
      <c r="C27" s="77" t="s">
        <v>625</v>
      </c>
      <c r="D27" s="77" t="s">
        <v>626</v>
      </c>
      <c r="E27" s="77" t="s">
        <v>627</v>
      </c>
      <c r="F27" s="77" t="s">
        <v>628</v>
      </c>
      <c r="G27" s="77" t="s">
        <v>629</v>
      </c>
      <c r="H27" s="77" t="s">
        <v>600</v>
      </c>
      <c r="I27" s="90" t="s">
        <v>457</v>
      </c>
      <c r="J27" s="77" t="s">
        <v>458</v>
      </c>
      <c r="K27" s="79"/>
      <c r="L27" s="79"/>
      <c r="M27" s="97"/>
      <c r="N27" s="97"/>
      <c r="O27" s="80" t="s">
        <v>538</v>
      </c>
    </row>
    <row r="28" spans="1:15" ht="26" x14ac:dyDescent="0.2">
      <c r="A28" s="76" t="s">
        <v>630</v>
      </c>
      <c r="B28" s="77" t="s">
        <v>209</v>
      </c>
      <c r="C28" s="77" t="s">
        <v>631</v>
      </c>
      <c r="D28" s="77" t="s">
        <v>632</v>
      </c>
      <c r="E28" s="77" t="s">
        <v>633</v>
      </c>
      <c r="F28" s="77" t="s">
        <v>634</v>
      </c>
      <c r="G28" s="77" t="s">
        <v>635</v>
      </c>
      <c r="H28" s="77" t="s">
        <v>474</v>
      </c>
      <c r="I28" s="90" t="s">
        <v>457</v>
      </c>
      <c r="J28" s="77" t="s">
        <v>458</v>
      </c>
      <c r="K28" s="79"/>
      <c r="L28" s="79"/>
      <c r="M28" s="97"/>
      <c r="N28" s="97"/>
      <c r="O28" s="80" t="s">
        <v>475</v>
      </c>
    </row>
    <row r="29" spans="1:15" ht="26" x14ac:dyDescent="0.2">
      <c r="A29" s="76" t="s">
        <v>636</v>
      </c>
      <c r="B29" s="77" t="s">
        <v>219</v>
      </c>
      <c r="C29" s="77" t="s">
        <v>637</v>
      </c>
      <c r="D29" s="77" t="s">
        <v>638</v>
      </c>
      <c r="E29" s="77" t="s">
        <v>639</v>
      </c>
      <c r="F29" s="77" t="s">
        <v>640</v>
      </c>
      <c r="G29" s="77" t="s">
        <v>641</v>
      </c>
      <c r="H29" s="77" t="s">
        <v>303</v>
      </c>
      <c r="I29" s="90" t="s">
        <v>457</v>
      </c>
      <c r="J29" s="77" t="s">
        <v>458</v>
      </c>
      <c r="K29" s="79"/>
      <c r="L29" s="79"/>
      <c r="M29" s="97"/>
      <c r="N29" s="97"/>
      <c r="O29" s="80" t="s">
        <v>642</v>
      </c>
    </row>
    <row r="30" spans="1:15" ht="26" x14ac:dyDescent="0.2">
      <c r="A30" s="76" t="s">
        <v>643</v>
      </c>
      <c r="B30" s="77" t="s">
        <v>207</v>
      </c>
      <c r="C30" s="77" t="s">
        <v>644</v>
      </c>
      <c r="D30" s="77" t="s">
        <v>645</v>
      </c>
      <c r="E30" s="77" t="s">
        <v>646</v>
      </c>
      <c r="F30" s="77" t="s">
        <v>647</v>
      </c>
      <c r="G30" s="77" t="s">
        <v>648</v>
      </c>
      <c r="H30" s="77" t="s">
        <v>303</v>
      </c>
      <c r="I30" s="90" t="s">
        <v>457</v>
      </c>
      <c r="J30" s="77" t="s">
        <v>458</v>
      </c>
      <c r="K30" s="79"/>
      <c r="L30" s="79"/>
      <c r="M30" s="97"/>
      <c r="N30" s="97"/>
      <c r="O30" s="80" t="s">
        <v>649</v>
      </c>
    </row>
    <row r="31" spans="1:15" ht="26" x14ac:dyDescent="0.2">
      <c r="A31" s="76" t="s">
        <v>650</v>
      </c>
      <c r="B31" s="77" t="s">
        <v>215</v>
      </c>
      <c r="C31" s="77" t="s">
        <v>651</v>
      </c>
      <c r="D31" s="77" t="s">
        <v>370</v>
      </c>
      <c r="E31" s="77" t="s">
        <v>652</v>
      </c>
      <c r="F31" s="77" t="s">
        <v>653</v>
      </c>
      <c r="G31" s="77" t="s">
        <v>654</v>
      </c>
      <c r="H31" s="77" t="s">
        <v>655</v>
      </c>
      <c r="I31" s="90" t="s">
        <v>457</v>
      </c>
      <c r="J31" s="77" t="s">
        <v>592</v>
      </c>
      <c r="K31" s="79"/>
      <c r="L31" s="79"/>
      <c r="M31" s="97"/>
      <c r="N31" s="97"/>
      <c r="O31" s="80" t="s">
        <v>489</v>
      </c>
    </row>
    <row r="32" spans="1:15" x14ac:dyDescent="0.2">
      <c r="A32" s="76" t="s">
        <v>656</v>
      </c>
      <c r="B32" s="77" t="s">
        <v>403</v>
      </c>
      <c r="C32" s="77" t="s">
        <v>657</v>
      </c>
      <c r="D32" s="77" t="s">
        <v>658</v>
      </c>
      <c r="E32" s="77" t="s">
        <v>659</v>
      </c>
      <c r="F32" s="77" t="s">
        <v>660</v>
      </c>
      <c r="G32" s="77" t="s">
        <v>614</v>
      </c>
      <c r="H32" s="77" t="s">
        <v>584</v>
      </c>
      <c r="I32" s="90" t="s">
        <v>466</v>
      </c>
      <c r="J32" s="77" t="s">
        <v>458</v>
      </c>
      <c r="K32" s="79"/>
      <c r="L32" s="79"/>
      <c r="M32" s="97"/>
      <c r="N32" s="97"/>
      <c r="O32" s="80" t="s">
        <v>489</v>
      </c>
    </row>
    <row r="33" spans="1:15" ht="26" x14ac:dyDescent="0.2">
      <c r="A33" s="76" t="s">
        <v>661</v>
      </c>
      <c r="B33" s="77" t="s">
        <v>410</v>
      </c>
      <c r="C33" s="77" t="s">
        <v>662</v>
      </c>
      <c r="D33" s="77" t="s">
        <v>663</v>
      </c>
      <c r="E33" s="77" t="s">
        <v>664</v>
      </c>
      <c r="F33" s="77" t="s">
        <v>665</v>
      </c>
      <c r="G33" s="77" t="s">
        <v>666</v>
      </c>
      <c r="H33" s="77" t="s">
        <v>667</v>
      </c>
      <c r="I33" s="90" t="s">
        <v>457</v>
      </c>
      <c r="J33" s="77" t="s">
        <v>458</v>
      </c>
      <c r="K33" s="79"/>
      <c r="L33" s="79"/>
      <c r="M33" s="97"/>
      <c r="N33" s="97"/>
      <c r="O33" s="80" t="s">
        <v>668</v>
      </c>
    </row>
    <row r="34" spans="1:15" x14ac:dyDescent="0.2">
      <c r="A34" s="76" t="s">
        <v>669</v>
      </c>
      <c r="B34" s="77" t="s">
        <v>364</v>
      </c>
      <c r="C34" s="77" t="s">
        <v>670</v>
      </c>
      <c r="D34" s="77" t="s">
        <v>671</v>
      </c>
      <c r="E34" s="77" t="s">
        <v>672</v>
      </c>
      <c r="F34" s="77" t="s">
        <v>673</v>
      </c>
      <c r="G34" s="77" t="s">
        <v>674</v>
      </c>
      <c r="H34" s="77" t="s">
        <v>675</v>
      </c>
      <c r="I34" s="90" t="s">
        <v>457</v>
      </c>
      <c r="J34" s="77" t="s">
        <v>592</v>
      </c>
      <c r="K34" s="79"/>
      <c r="L34" s="79"/>
      <c r="M34" s="97"/>
      <c r="N34" s="97"/>
      <c r="O34" s="80" t="s">
        <v>676</v>
      </c>
    </row>
    <row r="35" spans="1:15" ht="26" x14ac:dyDescent="0.2">
      <c r="A35" s="98" t="s">
        <v>677</v>
      </c>
      <c r="B35" s="99" t="s">
        <v>364</v>
      </c>
      <c r="C35" s="99" t="s">
        <v>678</v>
      </c>
      <c r="D35" s="99" t="s">
        <v>679</v>
      </c>
      <c r="E35" s="99" t="s">
        <v>680</v>
      </c>
      <c r="F35" s="99" t="s">
        <v>681</v>
      </c>
      <c r="G35" s="99" t="s">
        <v>682</v>
      </c>
      <c r="H35" s="99" t="s">
        <v>683</v>
      </c>
      <c r="I35" s="104" t="s">
        <v>457</v>
      </c>
      <c r="J35" s="99" t="s">
        <v>546</v>
      </c>
      <c r="K35" s="100"/>
      <c r="L35" s="100"/>
      <c r="M35" s="101"/>
      <c r="N35" s="101"/>
      <c r="O35" s="102" t="s">
        <v>684</v>
      </c>
    </row>
  </sheetData>
  <mergeCells count="2">
    <mergeCell ref="A1:O1"/>
    <mergeCell ref="A2:O2"/>
  </mergeCells>
  <conditionalFormatting sqref="I5:I35">
    <cfRule type="containsText" dxfId="140" priority="4" operator="containsText" text="H">
      <formula>NOT(ISERROR(SEARCH("H",I5)))</formula>
    </cfRule>
  </conditionalFormatting>
  <conditionalFormatting sqref="L5:L35">
    <cfRule type="containsText" dxfId="139" priority="1" operator="containsText" text="Pass">
      <formula>NOT(ISERROR(SEARCH("Pass",L5)))</formula>
    </cfRule>
    <cfRule type="containsText" dxfId="138" priority="2" operator="containsText" text="Fail">
      <formula>NOT(ISERROR(SEARCH("Fail",L5)))</formula>
    </cfRule>
    <cfRule type="containsText" dxfId="137" priority="3" operator="containsText" text="Pending">
      <formula>NOT(ISERROR(SEARCH("Pending",L5)))</formula>
    </cfRule>
  </conditionalFormatting>
  <dataValidations count="2">
    <dataValidation type="list" allowBlank="1" showInputMessage="1" showErrorMessage="1" sqref="L5:L35" xr:uid="{79EA6D59-A9B1-6149-BEB8-22E33440A16F}">
      <formula1>"Pass,Fail,Pending,N/A"</formula1>
    </dataValidation>
    <dataValidation type="list" allowBlank="1" showInputMessage="1" showErrorMessage="1" sqref="N5:N35" xr:uid="{61C6E9F8-52D1-2A49-B936-D6868E7B6362}">
      <formula1>"Not Started,Scheduled,Complete,Re-Test Required,Closed,N/A"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97DFC-87DF-2C41-B07C-A8072CB6B481}">
  <dimension ref="A1:M61"/>
  <sheetViews>
    <sheetView workbookViewId="0">
      <pane ySplit="8" topLeftCell="A50" activePane="bottomLeft" state="frozen"/>
      <selection pane="bottomLeft" sqref="A1:M1"/>
    </sheetView>
  </sheetViews>
  <sheetFormatPr baseColWidth="10" defaultColWidth="11" defaultRowHeight="16" x14ac:dyDescent="0.2"/>
  <cols>
    <col min="1" max="1" width="7.33203125" style="3" customWidth="1"/>
    <col min="2" max="2" width="55" style="3" customWidth="1"/>
    <col min="3" max="3" width="14.6640625" style="3" customWidth="1"/>
    <col min="4" max="4" width="25" style="3" customWidth="1"/>
    <col min="5" max="6" width="18.33203125" style="3" customWidth="1"/>
    <col min="7" max="7" width="41.6640625" style="3" customWidth="1"/>
    <col min="8" max="8" width="13.33203125" style="3" customWidth="1"/>
    <col min="9" max="9" width="16.6640625" style="3" customWidth="1"/>
    <col min="10" max="10" width="13.33203125" style="3" customWidth="1"/>
    <col min="11" max="11" width="10.33203125" style="3" customWidth="1"/>
    <col min="12" max="12" width="21.6640625" style="3" customWidth="1"/>
    <col min="13" max="13" width="28.33203125" style="3" customWidth="1"/>
  </cols>
  <sheetData>
    <row r="1" spans="1:13" ht="26" customHeight="1" x14ac:dyDescent="0.2">
      <c r="A1" s="249" t="s">
        <v>685</v>
      </c>
      <c r="B1" s="249"/>
      <c r="C1" s="249"/>
      <c r="D1" s="249"/>
      <c r="E1" s="249"/>
      <c r="F1" s="249"/>
      <c r="G1" s="249"/>
      <c r="H1" s="249"/>
      <c r="I1" s="249"/>
      <c r="J1" s="249"/>
      <c r="K1" s="249"/>
      <c r="L1" s="249"/>
      <c r="M1" s="249"/>
    </row>
    <row r="2" spans="1:13" ht="30" customHeight="1" x14ac:dyDescent="0.2">
      <c r="A2" s="257" t="s">
        <v>686</v>
      </c>
      <c r="B2" s="257"/>
      <c r="C2" s="257"/>
      <c r="D2" s="257"/>
      <c r="E2" s="257"/>
      <c r="F2" s="257"/>
      <c r="G2" s="257"/>
      <c r="H2" s="257"/>
      <c r="I2" s="257"/>
      <c r="J2" s="257"/>
      <c r="K2" s="257"/>
      <c r="L2" s="257"/>
      <c r="M2" s="257"/>
    </row>
    <row r="3" spans="1:13" x14ac:dyDescent="0.2">
      <c r="A3" s="4"/>
      <c r="B3" s="4"/>
      <c r="C3" s="4"/>
      <c r="D3" s="4"/>
      <c r="E3" s="4"/>
      <c r="F3" s="4"/>
      <c r="G3" s="4"/>
      <c r="H3" s="4"/>
      <c r="I3" s="4"/>
      <c r="J3" s="4"/>
      <c r="K3" s="4"/>
      <c r="L3" s="4"/>
      <c r="M3" s="4"/>
    </row>
    <row r="4" spans="1:13" ht="22" customHeight="1" x14ac:dyDescent="0.2">
      <c r="A4" s="110" t="s">
        <v>25</v>
      </c>
      <c r="B4" s="110"/>
      <c r="C4" s="111">
        <f>DATE(2026,12,21)</f>
        <v>46377</v>
      </c>
      <c r="D4" s="110" t="s">
        <v>687</v>
      </c>
      <c r="E4" s="112">
        <f>COUNTA($A$9:$A$71)</f>
        <v>46</v>
      </c>
      <c r="F4" s="110" t="s">
        <v>688</v>
      </c>
      <c r="G4" s="112">
        <f>COUNTIF($I$9:$I$71,"Complete")</f>
        <v>0</v>
      </c>
      <c r="H4" s="110" t="s">
        <v>689</v>
      </c>
      <c r="I4" s="112">
        <f>$E$4-$G$4</f>
        <v>46</v>
      </c>
      <c r="J4" s="110" t="s">
        <v>690</v>
      </c>
      <c r="K4" s="113">
        <f>IF($E$4=0,0,$G$4/$E$4)</f>
        <v>0</v>
      </c>
      <c r="L4" s="4"/>
      <c r="M4" s="4"/>
    </row>
    <row r="5" spans="1:13" x14ac:dyDescent="0.2">
      <c r="A5" s="4"/>
      <c r="B5" s="4"/>
      <c r="C5" s="4"/>
      <c r="D5" s="4"/>
      <c r="E5" s="4"/>
      <c r="F5" s="4"/>
      <c r="G5" s="4"/>
      <c r="H5" s="4"/>
      <c r="I5" s="4"/>
      <c r="J5" s="4"/>
      <c r="K5" s="4"/>
      <c r="L5" s="4"/>
      <c r="M5" s="4"/>
    </row>
    <row r="6" spans="1:13" x14ac:dyDescent="0.2">
      <c r="A6" s="4"/>
      <c r="B6" s="4"/>
      <c r="C6" s="4"/>
      <c r="D6" s="4"/>
      <c r="E6" s="4"/>
      <c r="F6" s="4"/>
      <c r="G6" s="4"/>
      <c r="H6" s="4"/>
      <c r="I6" s="4"/>
      <c r="J6" s="4"/>
      <c r="K6" s="4"/>
      <c r="L6" s="4"/>
      <c r="M6" s="4"/>
    </row>
    <row r="7" spans="1:13" x14ac:dyDescent="0.2">
      <c r="A7" s="4"/>
      <c r="B7" s="4"/>
      <c r="C7" s="4"/>
      <c r="D7" s="4"/>
      <c r="E7" s="4"/>
      <c r="F7" s="4"/>
      <c r="G7" s="4"/>
      <c r="H7" s="4"/>
      <c r="I7" s="4"/>
      <c r="J7" s="4"/>
      <c r="K7" s="4"/>
      <c r="L7" s="4"/>
      <c r="M7" s="4"/>
    </row>
    <row r="8" spans="1:13" ht="40" customHeight="1" x14ac:dyDescent="0.2">
      <c r="A8" s="48" t="s">
        <v>691</v>
      </c>
      <c r="B8" s="48" t="s">
        <v>692</v>
      </c>
      <c r="C8" s="48" t="s">
        <v>693</v>
      </c>
      <c r="D8" s="48" t="s">
        <v>694</v>
      </c>
      <c r="E8" s="48" t="s">
        <v>695</v>
      </c>
      <c r="F8" s="48" t="s">
        <v>696</v>
      </c>
      <c r="G8" s="48" t="s">
        <v>697</v>
      </c>
      <c r="H8" s="48" t="s">
        <v>698</v>
      </c>
      <c r="I8" s="48" t="s">
        <v>448</v>
      </c>
      <c r="J8" s="48" t="s">
        <v>699</v>
      </c>
      <c r="K8" s="48" t="s">
        <v>700</v>
      </c>
      <c r="L8" s="48" t="s">
        <v>701</v>
      </c>
      <c r="M8" s="48" t="s">
        <v>299</v>
      </c>
    </row>
    <row r="9" spans="1:13" ht="20" customHeight="1" x14ac:dyDescent="0.2">
      <c r="A9" s="221"/>
      <c r="B9" s="222" t="s">
        <v>702</v>
      </c>
      <c r="C9" s="222"/>
      <c r="D9" s="222"/>
      <c r="E9" s="222"/>
      <c r="F9" s="222"/>
      <c r="G9" s="222"/>
      <c r="H9" s="223"/>
      <c r="I9" s="224"/>
      <c r="J9" s="223"/>
      <c r="K9" s="224" t="str">
        <f t="shared" ref="K9:K40" si="0">IF(OR($A9="SECTION",$H9=""),"",$C$4-$H9)</f>
        <v/>
      </c>
      <c r="L9" s="222"/>
      <c r="M9" s="225"/>
    </row>
    <row r="10" spans="1:13" x14ac:dyDescent="0.2">
      <c r="A10" s="32" t="s">
        <v>703</v>
      </c>
      <c r="B10" s="36" t="s">
        <v>704</v>
      </c>
      <c r="C10" s="36" t="s">
        <v>705</v>
      </c>
      <c r="D10" s="36" t="s">
        <v>706</v>
      </c>
      <c r="E10" s="36" t="s">
        <v>364</v>
      </c>
      <c r="F10" s="36" t="s">
        <v>315</v>
      </c>
      <c r="G10" s="36" t="s">
        <v>707</v>
      </c>
      <c r="H10" s="105"/>
      <c r="I10" s="106" t="s">
        <v>708</v>
      </c>
      <c r="J10" s="105"/>
      <c r="K10" s="39" t="str">
        <f t="shared" si="0"/>
        <v/>
      </c>
      <c r="L10" s="36"/>
      <c r="M10" s="28"/>
    </row>
    <row r="11" spans="1:13" x14ac:dyDescent="0.2">
      <c r="A11" s="32" t="s">
        <v>709</v>
      </c>
      <c r="B11" s="36" t="s">
        <v>710</v>
      </c>
      <c r="C11" s="36" t="s">
        <v>705</v>
      </c>
      <c r="D11" s="36" t="s">
        <v>711</v>
      </c>
      <c r="E11" s="36" t="s">
        <v>703</v>
      </c>
      <c r="F11" s="36" t="s">
        <v>315</v>
      </c>
      <c r="G11" s="36" t="s">
        <v>712</v>
      </c>
      <c r="H11" s="105"/>
      <c r="I11" s="106" t="s">
        <v>708</v>
      </c>
      <c r="J11" s="105"/>
      <c r="K11" s="39" t="str">
        <f t="shared" si="0"/>
        <v/>
      </c>
      <c r="L11" s="36"/>
      <c r="M11" s="28"/>
    </row>
    <row r="12" spans="1:13" x14ac:dyDescent="0.2">
      <c r="A12" s="32" t="s">
        <v>713</v>
      </c>
      <c r="B12" s="36" t="s">
        <v>714</v>
      </c>
      <c r="C12" s="36" t="s">
        <v>705</v>
      </c>
      <c r="D12" s="36" t="s">
        <v>715</v>
      </c>
      <c r="E12" s="36" t="s">
        <v>703</v>
      </c>
      <c r="F12" s="36" t="s">
        <v>315</v>
      </c>
      <c r="G12" s="36" t="s">
        <v>716</v>
      </c>
      <c r="H12" s="105"/>
      <c r="I12" s="106" t="s">
        <v>708</v>
      </c>
      <c r="J12" s="105"/>
      <c r="K12" s="39" t="str">
        <f t="shared" si="0"/>
        <v/>
      </c>
      <c r="L12" s="36"/>
      <c r="M12" s="28"/>
    </row>
    <row r="13" spans="1:13" x14ac:dyDescent="0.2">
      <c r="A13" s="32" t="s">
        <v>717</v>
      </c>
      <c r="B13" s="36" t="s">
        <v>718</v>
      </c>
      <c r="C13" s="36" t="s">
        <v>719</v>
      </c>
      <c r="D13" s="36" t="s">
        <v>720</v>
      </c>
      <c r="E13" s="36" t="s">
        <v>709</v>
      </c>
      <c r="F13" s="36" t="s">
        <v>315</v>
      </c>
      <c r="G13" s="36" t="s">
        <v>721</v>
      </c>
      <c r="H13" s="105"/>
      <c r="I13" s="106" t="s">
        <v>708</v>
      </c>
      <c r="J13" s="105"/>
      <c r="K13" s="39" t="str">
        <f t="shared" si="0"/>
        <v/>
      </c>
      <c r="L13" s="36"/>
      <c r="M13" s="28"/>
    </row>
    <row r="14" spans="1:13" x14ac:dyDescent="0.2">
      <c r="A14" s="32" t="s">
        <v>722</v>
      </c>
      <c r="B14" s="36" t="s">
        <v>723</v>
      </c>
      <c r="C14" s="36" t="s">
        <v>719</v>
      </c>
      <c r="D14" s="36" t="s">
        <v>720</v>
      </c>
      <c r="E14" s="36" t="s">
        <v>703</v>
      </c>
      <c r="F14" s="36" t="s">
        <v>303</v>
      </c>
      <c r="G14" s="36" t="s">
        <v>724</v>
      </c>
      <c r="H14" s="105"/>
      <c r="I14" s="106" t="s">
        <v>708</v>
      </c>
      <c r="J14" s="105"/>
      <c r="K14" s="39" t="str">
        <f t="shared" si="0"/>
        <v/>
      </c>
      <c r="L14" s="36"/>
      <c r="M14" s="28"/>
    </row>
    <row r="15" spans="1:13" x14ac:dyDescent="0.2">
      <c r="A15" s="32" t="s">
        <v>725</v>
      </c>
      <c r="B15" s="36" t="s">
        <v>726</v>
      </c>
      <c r="C15" s="36" t="s">
        <v>705</v>
      </c>
      <c r="D15" s="36" t="s">
        <v>706</v>
      </c>
      <c r="E15" s="36" t="s">
        <v>703</v>
      </c>
      <c r="F15" s="36" t="s">
        <v>303</v>
      </c>
      <c r="G15" s="36" t="s">
        <v>727</v>
      </c>
      <c r="H15" s="105"/>
      <c r="I15" s="106" t="s">
        <v>708</v>
      </c>
      <c r="J15" s="105"/>
      <c r="K15" s="39" t="str">
        <f t="shared" si="0"/>
        <v/>
      </c>
      <c r="L15" s="36"/>
      <c r="M15" s="28"/>
    </row>
    <row r="16" spans="1:13" ht="52" x14ac:dyDescent="0.2">
      <c r="A16" s="32" t="s">
        <v>728</v>
      </c>
      <c r="B16" s="36" t="s">
        <v>729</v>
      </c>
      <c r="C16" s="36" t="s">
        <v>730</v>
      </c>
      <c r="D16" s="36" t="s">
        <v>48</v>
      </c>
      <c r="E16" s="36" t="s">
        <v>731</v>
      </c>
      <c r="F16" s="36" t="s">
        <v>303</v>
      </c>
      <c r="G16" s="36" t="s">
        <v>732</v>
      </c>
      <c r="H16" s="105"/>
      <c r="I16" s="106" t="s">
        <v>708</v>
      </c>
      <c r="J16" s="105"/>
      <c r="K16" s="39" t="str">
        <f t="shared" si="0"/>
        <v/>
      </c>
      <c r="L16" s="36"/>
      <c r="M16" s="28" t="s">
        <v>733</v>
      </c>
    </row>
    <row r="17" spans="1:13" ht="20" customHeight="1" x14ac:dyDescent="0.2">
      <c r="A17" s="226"/>
      <c r="B17" s="227" t="s">
        <v>734</v>
      </c>
      <c r="C17" s="227"/>
      <c r="D17" s="227"/>
      <c r="E17" s="227"/>
      <c r="F17" s="227"/>
      <c r="G17" s="227"/>
      <c r="H17" s="228"/>
      <c r="I17" s="229"/>
      <c r="J17" s="228"/>
      <c r="K17" s="229" t="str">
        <f t="shared" si="0"/>
        <v/>
      </c>
      <c r="L17" s="227"/>
      <c r="M17" s="230"/>
    </row>
    <row r="18" spans="1:13" ht="26" x14ac:dyDescent="0.2">
      <c r="A18" s="32" t="s">
        <v>735</v>
      </c>
      <c r="B18" s="36" t="s">
        <v>736</v>
      </c>
      <c r="C18" s="36" t="s">
        <v>730</v>
      </c>
      <c r="D18" s="36" t="s">
        <v>737</v>
      </c>
      <c r="E18" s="36" t="s">
        <v>709</v>
      </c>
      <c r="F18" s="36" t="s">
        <v>303</v>
      </c>
      <c r="G18" s="36" t="s">
        <v>738</v>
      </c>
      <c r="H18" s="105"/>
      <c r="I18" s="106" t="s">
        <v>708</v>
      </c>
      <c r="J18" s="105"/>
      <c r="K18" s="39" t="str">
        <f t="shared" si="0"/>
        <v/>
      </c>
      <c r="L18" s="36"/>
      <c r="M18" s="28"/>
    </row>
    <row r="19" spans="1:13" x14ac:dyDescent="0.2">
      <c r="A19" s="32" t="s">
        <v>739</v>
      </c>
      <c r="B19" s="36" t="s">
        <v>740</v>
      </c>
      <c r="C19" s="36" t="s">
        <v>730</v>
      </c>
      <c r="D19" s="36" t="s">
        <v>474</v>
      </c>
      <c r="E19" s="36" t="s">
        <v>709</v>
      </c>
      <c r="F19" s="36" t="s">
        <v>303</v>
      </c>
      <c r="G19" s="36" t="s">
        <v>741</v>
      </c>
      <c r="H19" s="105"/>
      <c r="I19" s="106" t="s">
        <v>708</v>
      </c>
      <c r="J19" s="105"/>
      <c r="K19" s="39" t="str">
        <f t="shared" si="0"/>
        <v/>
      </c>
      <c r="L19" s="36"/>
      <c r="M19" s="28"/>
    </row>
    <row r="20" spans="1:13" x14ac:dyDescent="0.2">
      <c r="A20" s="32" t="s">
        <v>742</v>
      </c>
      <c r="B20" s="36" t="s">
        <v>743</v>
      </c>
      <c r="C20" s="36" t="s">
        <v>730</v>
      </c>
      <c r="D20" s="36" t="s">
        <v>744</v>
      </c>
      <c r="E20" s="36" t="s">
        <v>709</v>
      </c>
      <c r="F20" s="36" t="s">
        <v>303</v>
      </c>
      <c r="G20" s="36" t="s">
        <v>745</v>
      </c>
      <c r="H20" s="105"/>
      <c r="I20" s="106" t="s">
        <v>708</v>
      </c>
      <c r="J20" s="105"/>
      <c r="K20" s="39" t="str">
        <f t="shared" si="0"/>
        <v/>
      </c>
      <c r="L20" s="36"/>
      <c r="M20" s="28"/>
    </row>
    <row r="21" spans="1:13" x14ac:dyDescent="0.2">
      <c r="A21" s="32" t="s">
        <v>746</v>
      </c>
      <c r="B21" s="36" t="s">
        <v>747</v>
      </c>
      <c r="C21" s="36" t="s">
        <v>730</v>
      </c>
      <c r="D21" s="36" t="s">
        <v>474</v>
      </c>
      <c r="E21" s="36" t="s">
        <v>709</v>
      </c>
      <c r="F21" s="36" t="s">
        <v>303</v>
      </c>
      <c r="G21" s="36" t="s">
        <v>748</v>
      </c>
      <c r="H21" s="105"/>
      <c r="I21" s="106" t="s">
        <v>708</v>
      </c>
      <c r="J21" s="105"/>
      <c r="K21" s="39" t="str">
        <f t="shared" si="0"/>
        <v/>
      </c>
      <c r="L21" s="36"/>
      <c r="M21" s="28"/>
    </row>
    <row r="22" spans="1:13" x14ac:dyDescent="0.2">
      <c r="A22" s="32" t="s">
        <v>749</v>
      </c>
      <c r="B22" s="36" t="s">
        <v>750</v>
      </c>
      <c r="C22" s="36" t="s">
        <v>730</v>
      </c>
      <c r="D22" s="36" t="s">
        <v>622</v>
      </c>
      <c r="E22" s="36" t="s">
        <v>713</v>
      </c>
      <c r="F22" s="36" t="s">
        <v>315</v>
      </c>
      <c r="G22" s="36" t="s">
        <v>751</v>
      </c>
      <c r="H22" s="105"/>
      <c r="I22" s="106" t="s">
        <v>708</v>
      </c>
      <c r="J22" s="105"/>
      <c r="K22" s="39" t="str">
        <f t="shared" si="0"/>
        <v/>
      </c>
      <c r="L22" s="36"/>
      <c r="M22" s="28"/>
    </row>
    <row r="23" spans="1:13" x14ac:dyDescent="0.2">
      <c r="A23" s="32" t="s">
        <v>752</v>
      </c>
      <c r="B23" s="36" t="s">
        <v>753</v>
      </c>
      <c r="C23" s="36" t="s">
        <v>730</v>
      </c>
      <c r="D23" s="36" t="s">
        <v>754</v>
      </c>
      <c r="E23" s="36" t="s">
        <v>709</v>
      </c>
      <c r="F23" s="36" t="s">
        <v>315</v>
      </c>
      <c r="G23" s="36" t="s">
        <v>755</v>
      </c>
      <c r="H23" s="105"/>
      <c r="I23" s="106" t="s">
        <v>708</v>
      </c>
      <c r="J23" s="105"/>
      <c r="K23" s="39" t="str">
        <f t="shared" si="0"/>
        <v/>
      </c>
      <c r="L23" s="36"/>
      <c r="M23" s="28"/>
    </row>
    <row r="24" spans="1:13" x14ac:dyDescent="0.2">
      <c r="A24" s="32" t="s">
        <v>756</v>
      </c>
      <c r="B24" s="36" t="s">
        <v>757</v>
      </c>
      <c r="C24" s="36" t="s">
        <v>730</v>
      </c>
      <c r="D24" s="36" t="s">
        <v>474</v>
      </c>
      <c r="E24" s="36" t="s">
        <v>758</v>
      </c>
      <c r="F24" s="36" t="s">
        <v>315</v>
      </c>
      <c r="G24" s="36" t="s">
        <v>759</v>
      </c>
      <c r="H24" s="105"/>
      <c r="I24" s="106" t="s">
        <v>708</v>
      </c>
      <c r="J24" s="105"/>
      <c r="K24" s="39" t="str">
        <f t="shared" si="0"/>
        <v/>
      </c>
      <c r="L24" s="36"/>
      <c r="M24" s="28"/>
    </row>
    <row r="25" spans="1:13" ht="20" customHeight="1" x14ac:dyDescent="0.2">
      <c r="A25" s="226"/>
      <c r="B25" s="227" t="s">
        <v>760</v>
      </c>
      <c r="C25" s="227"/>
      <c r="D25" s="227"/>
      <c r="E25" s="227"/>
      <c r="F25" s="227"/>
      <c r="G25" s="227"/>
      <c r="H25" s="228"/>
      <c r="I25" s="229"/>
      <c r="J25" s="228"/>
      <c r="K25" s="229" t="str">
        <f t="shared" si="0"/>
        <v/>
      </c>
      <c r="L25" s="227"/>
      <c r="M25" s="230"/>
    </row>
    <row r="26" spans="1:13" x14ac:dyDescent="0.2">
      <c r="A26" s="32" t="s">
        <v>761</v>
      </c>
      <c r="B26" s="36" t="s">
        <v>762</v>
      </c>
      <c r="C26" s="36" t="s">
        <v>550</v>
      </c>
      <c r="D26" s="36" t="s">
        <v>763</v>
      </c>
      <c r="E26" s="36" t="s">
        <v>703</v>
      </c>
      <c r="F26" s="36" t="s">
        <v>315</v>
      </c>
      <c r="G26" s="36" t="s">
        <v>764</v>
      </c>
      <c r="H26" s="105"/>
      <c r="I26" s="106" t="s">
        <v>708</v>
      </c>
      <c r="J26" s="105"/>
      <c r="K26" s="39" t="str">
        <f t="shared" si="0"/>
        <v/>
      </c>
      <c r="L26" s="36"/>
      <c r="M26" s="28"/>
    </row>
    <row r="27" spans="1:13" x14ac:dyDescent="0.2">
      <c r="A27" s="32" t="s">
        <v>765</v>
      </c>
      <c r="B27" s="36" t="s">
        <v>766</v>
      </c>
      <c r="C27" s="36" t="s">
        <v>550</v>
      </c>
      <c r="D27" s="36" t="s">
        <v>550</v>
      </c>
      <c r="E27" s="36" t="s">
        <v>761</v>
      </c>
      <c r="F27" s="36" t="s">
        <v>315</v>
      </c>
      <c r="G27" s="36" t="s">
        <v>767</v>
      </c>
      <c r="H27" s="105"/>
      <c r="I27" s="106" t="s">
        <v>708</v>
      </c>
      <c r="J27" s="105"/>
      <c r="K27" s="39" t="str">
        <f t="shared" si="0"/>
        <v/>
      </c>
      <c r="L27" s="36"/>
      <c r="M27" s="28"/>
    </row>
    <row r="28" spans="1:13" x14ac:dyDescent="0.2">
      <c r="A28" s="32" t="s">
        <v>768</v>
      </c>
      <c r="B28" s="36" t="s">
        <v>769</v>
      </c>
      <c r="C28" s="36" t="s">
        <v>705</v>
      </c>
      <c r="D28" s="36" t="s">
        <v>706</v>
      </c>
      <c r="E28" s="36" t="s">
        <v>703</v>
      </c>
      <c r="F28" s="36" t="s">
        <v>303</v>
      </c>
      <c r="G28" s="36" t="s">
        <v>770</v>
      </c>
      <c r="H28" s="105"/>
      <c r="I28" s="106" t="s">
        <v>708</v>
      </c>
      <c r="J28" s="105"/>
      <c r="K28" s="39" t="str">
        <f t="shared" si="0"/>
        <v/>
      </c>
      <c r="L28" s="36"/>
      <c r="M28" s="28"/>
    </row>
    <row r="29" spans="1:13" ht="26" x14ac:dyDescent="0.2">
      <c r="A29" s="32" t="s">
        <v>771</v>
      </c>
      <c r="B29" s="36" t="s">
        <v>772</v>
      </c>
      <c r="C29" s="36" t="s">
        <v>550</v>
      </c>
      <c r="D29" s="36" t="s">
        <v>550</v>
      </c>
      <c r="E29" s="36" t="s">
        <v>768</v>
      </c>
      <c r="F29" s="36" t="s">
        <v>303</v>
      </c>
      <c r="G29" s="36" t="s">
        <v>773</v>
      </c>
      <c r="H29" s="105"/>
      <c r="I29" s="106" t="s">
        <v>708</v>
      </c>
      <c r="J29" s="105"/>
      <c r="K29" s="39" t="str">
        <f t="shared" si="0"/>
        <v/>
      </c>
      <c r="L29" s="36"/>
      <c r="M29" s="28"/>
    </row>
    <row r="30" spans="1:13" x14ac:dyDescent="0.2">
      <c r="A30" s="32" t="s">
        <v>774</v>
      </c>
      <c r="B30" s="36" t="s">
        <v>775</v>
      </c>
      <c r="C30" s="36" t="s">
        <v>550</v>
      </c>
      <c r="D30" s="36" t="s">
        <v>776</v>
      </c>
      <c r="E30" s="36" t="s">
        <v>765</v>
      </c>
      <c r="F30" s="36" t="s">
        <v>315</v>
      </c>
      <c r="G30" s="36" t="s">
        <v>777</v>
      </c>
      <c r="H30" s="105"/>
      <c r="I30" s="106" t="s">
        <v>708</v>
      </c>
      <c r="J30" s="105"/>
      <c r="K30" s="39" t="str">
        <f t="shared" si="0"/>
        <v/>
      </c>
      <c r="L30" s="36"/>
      <c r="M30" s="28"/>
    </row>
    <row r="31" spans="1:13" ht="20" customHeight="1" x14ac:dyDescent="0.2">
      <c r="A31" s="226"/>
      <c r="B31" s="227" t="s">
        <v>778</v>
      </c>
      <c r="C31" s="227"/>
      <c r="D31" s="227"/>
      <c r="E31" s="227"/>
      <c r="F31" s="227"/>
      <c r="G31" s="227"/>
      <c r="H31" s="228"/>
      <c r="I31" s="229"/>
      <c r="J31" s="228"/>
      <c r="K31" s="229" t="str">
        <f t="shared" si="0"/>
        <v/>
      </c>
      <c r="L31" s="227"/>
      <c r="M31" s="230"/>
    </row>
    <row r="32" spans="1:13" x14ac:dyDescent="0.2">
      <c r="A32" s="32" t="s">
        <v>779</v>
      </c>
      <c r="B32" s="36" t="s">
        <v>780</v>
      </c>
      <c r="C32" s="36" t="s">
        <v>705</v>
      </c>
      <c r="D32" s="36" t="s">
        <v>781</v>
      </c>
      <c r="E32" s="36" t="s">
        <v>703</v>
      </c>
      <c r="F32" s="36" t="s">
        <v>315</v>
      </c>
      <c r="G32" s="36" t="s">
        <v>782</v>
      </c>
      <c r="H32" s="105"/>
      <c r="I32" s="106" t="s">
        <v>708</v>
      </c>
      <c r="J32" s="105"/>
      <c r="K32" s="39" t="str">
        <f t="shared" si="0"/>
        <v/>
      </c>
      <c r="L32" s="36"/>
      <c r="M32" s="28"/>
    </row>
    <row r="33" spans="1:13" ht="26" x14ac:dyDescent="0.2">
      <c r="A33" s="32" t="s">
        <v>783</v>
      </c>
      <c r="B33" s="36" t="s">
        <v>784</v>
      </c>
      <c r="C33" s="36" t="s">
        <v>705</v>
      </c>
      <c r="D33" s="36" t="s">
        <v>781</v>
      </c>
      <c r="E33" s="36" t="s">
        <v>779</v>
      </c>
      <c r="F33" s="36" t="s">
        <v>315</v>
      </c>
      <c r="G33" s="36" t="s">
        <v>785</v>
      </c>
      <c r="H33" s="105"/>
      <c r="I33" s="106" t="s">
        <v>708</v>
      </c>
      <c r="J33" s="105"/>
      <c r="K33" s="39" t="str">
        <f t="shared" si="0"/>
        <v/>
      </c>
      <c r="L33" s="36"/>
      <c r="M33" s="28"/>
    </row>
    <row r="34" spans="1:13" x14ac:dyDescent="0.2">
      <c r="A34" s="32" t="s">
        <v>786</v>
      </c>
      <c r="B34" s="36" t="s">
        <v>787</v>
      </c>
      <c r="C34" s="36" t="s">
        <v>788</v>
      </c>
      <c r="D34" s="36" t="s">
        <v>789</v>
      </c>
      <c r="E34" s="36" t="s">
        <v>783</v>
      </c>
      <c r="F34" s="36" t="s">
        <v>315</v>
      </c>
      <c r="G34" s="36" t="s">
        <v>790</v>
      </c>
      <c r="H34" s="105"/>
      <c r="I34" s="106" t="s">
        <v>708</v>
      </c>
      <c r="J34" s="105"/>
      <c r="K34" s="39" t="str">
        <f t="shared" si="0"/>
        <v/>
      </c>
      <c r="L34" s="36"/>
      <c r="M34" s="28"/>
    </row>
    <row r="35" spans="1:13" x14ac:dyDescent="0.2">
      <c r="A35" s="32" t="s">
        <v>791</v>
      </c>
      <c r="B35" s="36" t="s">
        <v>792</v>
      </c>
      <c r="C35" s="36" t="s">
        <v>705</v>
      </c>
      <c r="D35" s="36" t="s">
        <v>332</v>
      </c>
      <c r="E35" s="36" t="s">
        <v>703</v>
      </c>
      <c r="F35" s="36" t="s">
        <v>303</v>
      </c>
      <c r="G35" s="36" t="s">
        <v>793</v>
      </c>
      <c r="H35" s="105"/>
      <c r="I35" s="106" t="s">
        <v>708</v>
      </c>
      <c r="J35" s="105"/>
      <c r="K35" s="39" t="str">
        <f t="shared" si="0"/>
        <v/>
      </c>
      <c r="L35" s="36"/>
      <c r="M35" s="28"/>
    </row>
    <row r="36" spans="1:13" x14ac:dyDescent="0.2">
      <c r="A36" s="32" t="s">
        <v>794</v>
      </c>
      <c r="B36" s="36" t="s">
        <v>795</v>
      </c>
      <c r="C36" s="36" t="s">
        <v>705</v>
      </c>
      <c r="D36" s="36" t="s">
        <v>332</v>
      </c>
      <c r="E36" s="36" t="s">
        <v>791</v>
      </c>
      <c r="F36" s="36" t="s">
        <v>303</v>
      </c>
      <c r="G36" s="36" t="s">
        <v>796</v>
      </c>
      <c r="H36" s="105"/>
      <c r="I36" s="106" t="s">
        <v>708</v>
      </c>
      <c r="J36" s="105"/>
      <c r="K36" s="39" t="str">
        <f t="shared" si="0"/>
        <v/>
      </c>
      <c r="L36" s="36"/>
      <c r="M36" s="28"/>
    </row>
    <row r="37" spans="1:13" x14ac:dyDescent="0.2">
      <c r="A37" s="32" t="s">
        <v>797</v>
      </c>
      <c r="B37" s="36" t="s">
        <v>798</v>
      </c>
      <c r="C37" s="36" t="s">
        <v>788</v>
      </c>
      <c r="D37" s="36" t="s">
        <v>799</v>
      </c>
      <c r="E37" s="36" t="s">
        <v>794</v>
      </c>
      <c r="F37" s="36" t="s">
        <v>315</v>
      </c>
      <c r="G37" s="36" t="s">
        <v>800</v>
      </c>
      <c r="H37" s="105"/>
      <c r="I37" s="106" t="s">
        <v>708</v>
      </c>
      <c r="J37" s="105"/>
      <c r="K37" s="39" t="str">
        <f t="shared" si="0"/>
        <v/>
      </c>
      <c r="L37" s="36"/>
      <c r="M37" s="28"/>
    </row>
    <row r="38" spans="1:13" x14ac:dyDescent="0.2">
      <c r="A38" s="32" t="s">
        <v>801</v>
      </c>
      <c r="B38" s="36" t="s">
        <v>802</v>
      </c>
      <c r="C38" s="36" t="s">
        <v>705</v>
      </c>
      <c r="D38" s="36" t="s">
        <v>803</v>
      </c>
      <c r="E38" s="36" t="s">
        <v>797</v>
      </c>
      <c r="F38" s="36" t="s">
        <v>315</v>
      </c>
      <c r="G38" s="36" t="s">
        <v>804</v>
      </c>
      <c r="H38" s="105"/>
      <c r="I38" s="106" t="s">
        <v>708</v>
      </c>
      <c r="J38" s="105"/>
      <c r="K38" s="39" t="str">
        <f t="shared" si="0"/>
        <v/>
      </c>
      <c r="L38" s="36"/>
      <c r="M38" s="28"/>
    </row>
    <row r="39" spans="1:13" x14ac:dyDescent="0.2">
      <c r="A39" s="32" t="s">
        <v>805</v>
      </c>
      <c r="B39" s="36" t="s">
        <v>806</v>
      </c>
      <c r="C39" s="36" t="s">
        <v>705</v>
      </c>
      <c r="D39" s="36" t="s">
        <v>332</v>
      </c>
      <c r="E39" s="36" t="s">
        <v>794</v>
      </c>
      <c r="F39" s="36" t="s">
        <v>303</v>
      </c>
      <c r="G39" s="36" t="s">
        <v>807</v>
      </c>
      <c r="H39" s="105"/>
      <c r="I39" s="106" t="s">
        <v>708</v>
      </c>
      <c r="J39" s="105"/>
      <c r="K39" s="39" t="str">
        <f t="shared" si="0"/>
        <v/>
      </c>
      <c r="L39" s="36"/>
      <c r="M39" s="28"/>
    </row>
    <row r="40" spans="1:13" x14ac:dyDescent="0.2">
      <c r="A40" s="32" t="s">
        <v>808</v>
      </c>
      <c r="B40" s="36" t="s">
        <v>809</v>
      </c>
      <c r="C40" s="36" t="s">
        <v>810</v>
      </c>
      <c r="D40" s="36" t="s">
        <v>811</v>
      </c>
      <c r="E40" s="36" t="s">
        <v>703</v>
      </c>
      <c r="F40" s="36" t="s">
        <v>315</v>
      </c>
      <c r="G40" s="36" t="s">
        <v>812</v>
      </c>
      <c r="H40" s="105"/>
      <c r="I40" s="106" t="s">
        <v>708</v>
      </c>
      <c r="J40" s="105"/>
      <c r="K40" s="39" t="str">
        <f t="shared" si="0"/>
        <v/>
      </c>
      <c r="L40" s="36"/>
      <c r="M40" s="28"/>
    </row>
    <row r="41" spans="1:13" x14ac:dyDescent="0.2">
      <c r="A41" s="32" t="s">
        <v>813</v>
      </c>
      <c r="B41" s="36" t="s">
        <v>814</v>
      </c>
      <c r="C41" s="36" t="s">
        <v>810</v>
      </c>
      <c r="D41" s="36" t="s">
        <v>811</v>
      </c>
      <c r="E41" s="36" t="s">
        <v>808</v>
      </c>
      <c r="F41" s="36" t="s">
        <v>315</v>
      </c>
      <c r="G41" s="36" t="s">
        <v>815</v>
      </c>
      <c r="H41" s="105"/>
      <c r="I41" s="106" t="s">
        <v>708</v>
      </c>
      <c r="J41" s="105"/>
      <c r="K41" s="39" t="str">
        <f t="shared" ref="K41:K61" si="1">IF(OR($A41="SECTION",$H41=""),"",$C$4-$H41)</f>
        <v/>
      </c>
      <c r="L41" s="36"/>
      <c r="M41" s="28"/>
    </row>
    <row r="42" spans="1:13" x14ac:dyDescent="0.2">
      <c r="A42" s="32" t="s">
        <v>816</v>
      </c>
      <c r="B42" s="36" t="s">
        <v>817</v>
      </c>
      <c r="C42" s="36" t="s">
        <v>810</v>
      </c>
      <c r="D42" s="36" t="s">
        <v>811</v>
      </c>
      <c r="E42" s="36" t="s">
        <v>703</v>
      </c>
      <c r="F42" s="36" t="s">
        <v>315</v>
      </c>
      <c r="G42" s="36" t="s">
        <v>818</v>
      </c>
      <c r="H42" s="105"/>
      <c r="I42" s="106" t="s">
        <v>708</v>
      </c>
      <c r="J42" s="105"/>
      <c r="K42" s="39" t="str">
        <f t="shared" si="1"/>
        <v/>
      </c>
      <c r="L42" s="36"/>
      <c r="M42" s="28"/>
    </row>
    <row r="43" spans="1:13" ht="29" customHeight="1" x14ac:dyDescent="0.2">
      <c r="A43" s="226"/>
      <c r="B43" s="227" t="s">
        <v>819</v>
      </c>
      <c r="C43" s="227"/>
      <c r="D43" s="227"/>
      <c r="E43" s="227"/>
      <c r="F43" s="227"/>
      <c r="G43" s="227"/>
      <c r="H43" s="228"/>
      <c r="I43" s="229"/>
      <c r="J43" s="228"/>
      <c r="K43" s="229" t="str">
        <f t="shared" si="1"/>
        <v/>
      </c>
      <c r="L43" s="227"/>
      <c r="M43" s="230"/>
    </row>
    <row r="44" spans="1:13" ht="26" x14ac:dyDescent="0.2">
      <c r="A44" s="32" t="s">
        <v>820</v>
      </c>
      <c r="B44" s="36" t="s">
        <v>821</v>
      </c>
      <c r="C44" s="36" t="s">
        <v>719</v>
      </c>
      <c r="D44" s="36" t="s">
        <v>720</v>
      </c>
      <c r="E44" s="36" t="s">
        <v>822</v>
      </c>
      <c r="F44" s="36" t="s">
        <v>303</v>
      </c>
      <c r="G44" s="36" t="s">
        <v>823</v>
      </c>
      <c r="H44" s="105"/>
      <c r="I44" s="106" t="s">
        <v>708</v>
      </c>
      <c r="J44" s="105"/>
      <c r="K44" s="39" t="str">
        <f t="shared" si="1"/>
        <v/>
      </c>
      <c r="L44" s="36"/>
      <c r="M44" s="28"/>
    </row>
    <row r="45" spans="1:13" x14ac:dyDescent="0.2">
      <c r="A45" s="32" t="s">
        <v>824</v>
      </c>
      <c r="B45" s="36" t="s">
        <v>825</v>
      </c>
      <c r="C45" s="36" t="s">
        <v>826</v>
      </c>
      <c r="D45" s="36" t="s">
        <v>54</v>
      </c>
      <c r="E45" s="36" t="s">
        <v>820</v>
      </c>
      <c r="F45" s="36" t="s">
        <v>827</v>
      </c>
      <c r="G45" s="36" t="s">
        <v>828</v>
      </c>
      <c r="H45" s="105"/>
      <c r="I45" s="106" t="s">
        <v>708</v>
      </c>
      <c r="J45" s="105"/>
      <c r="K45" s="39" t="str">
        <f t="shared" si="1"/>
        <v/>
      </c>
      <c r="L45" s="36"/>
      <c r="M45" s="28"/>
    </row>
    <row r="46" spans="1:13" ht="26" x14ac:dyDescent="0.2">
      <c r="A46" s="32" t="s">
        <v>829</v>
      </c>
      <c r="B46" s="36" t="s">
        <v>830</v>
      </c>
      <c r="C46" s="36" t="s">
        <v>826</v>
      </c>
      <c r="D46" s="36" t="s">
        <v>831</v>
      </c>
      <c r="E46" s="36" t="s">
        <v>824</v>
      </c>
      <c r="F46" s="36" t="s">
        <v>832</v>
      </c>
      <c r="G46" s="36" t="s">
        <v>833</v>
      </c>
      <c r="H46" s="105"/>
      <c r="I46" s="106" t="s">
        <v>708</v>
      </c>
      <c r="J46" s="105"/>
      <c r="K46" s="39" t="str">
        <f t="shared" si="1"/>
        <v/>
      </c>
      <c r="L46" s="36"/>
      <c r="M46" s="28"/>
    </row>
    <row r="47" spans="1:13" ht="20" customHeight="1" x14ac:dyDescent="0.2">
      <c r="A47" s="226"/>
      <c r="B47" s="227" t="s">
        <v>834</v>
      </c>
      <c r="C47" s="227"/>
      <c r="D47" s="227"/>
      <c r="E47" s="227"/>
      <c r="F47" s="227"/>
      <c r="G47" s="227"/>
      <c r="H47" s="228"/>
      <c r="I47" s="229"/>
      <c r="J47" s="228"/>
      <c r="K47" s="229" t="str">
        <f t="shared" si="1"/>
        <v/>
      </c>
      <c r="L47" s="227"/>
      <c r="M47" s="230"/>
    </row>
    <row r="48" spans="1:13" x14ac:dyDescent="0.2">
      <c r="A48" s="32" t="s">
        <v>835</v>
      </c>
      <c r="B48" s="36" t="s">
        <v>836</v>
      </c>
      <c r="C48" s="36" t="s">
        <v>719</v>
      </c>
      <c r="D48" s="36" t="s">
        <v>837</v>
      </c>
      <c r="E48" s="36" t="s">
        <v>703</v>
      </c>
      <c r="F48" s="36" t="s">
        <v>315</v>
      </c>
      <c r="G48" s="36" t="s">
        <v>838</v>
      </c>
      <c r="H48" s="105"/>
      <c r="I48" s="106" t="s">
        <v>708</v>
      </c>
      <c r="J48" s="105"/>
      <c r="K48" s="39" t="str">
        <f t="shared" si="1"/>
        <v/>
      </c>
      <c r="L48" s="36"/>
      <c r="M48" s="28"/>
    </row>
    <row r="49" spans="1:13" x14ac:dyDescent="0.2">
      <c r="A49" s="32" t="s">
        <v>839</v>
      </c>
      <c r="B49" s="36" t="s">
        <v>840</v>
      </c>
      <c r="C49" s="36" t="s">
        <v>719</v>
      </c>
      <c r="D49" s="36" t="s">
        <v>615</v>
      </c>
      <c r="E49" s="36" t="s">
        <v>835</v>
      </c>
      <c r="F49" s="36" t="s">
        <v>315</v>
      </c>
      <c r="G49" s="36" t="s">
        <v>841</v>
      </c>
      <c r="H49" s="105"/>
      <c r="I49" s="106" t="s">
        <v>708</v>
      </c>
      <c r="J49" s="105"/>
      <c r="K49" s="39" t="str">
        <f t="shared" si="1"/>
        <v/>
      </c>
      <c r="L49" s="36"/>
      <c r="M49" s="28"/>
    </row>
    <row r="50" spans="1:13" x14ac:dyDescent="0.2">
      <c r="A50" s="32" t="s">
        <v>842</v>
      </c>
      <c r="B50" s="36" t="s">
        <v>843</v>
      </c>
      <c r="C50" s="36" t="s">
        <v>719</v>
      </c>
      <c r="D50" s="36" t="s">
        <v>720</v>
      </c>
      <c r="E50" s="36" t="s">
        <v>364</v>
      </c>
      <c r="F50" s="36" t="s">
        <v>315</v>
      </c>
      <c r="G50" s="36" t="s">
        <v>844</v>
      </c>
      <c r="H50" s="105"/>
      <c r="I50" s="106" t="s">
        <v>708</v>
      </c>
      <c r="J50" s="105"/>
      <c r="K50" s="39" t="str">
        <f t="shared" si="1"/>
        <v/>
      </c>
      <c r="L50" s="36"/>
      <c r="M50" s="28"/>
    </row>
    <row r="51" spans="1:13" x14ac:dyDescent="0.2">
      <c r="A51" s="32" t="s">
        <v>845</v>
      </c>
      <c r="B51" s="36" t="s">
        <v>846</v>
      </c>
      <c r="C51" s="36" t="s">
        <v>719</v>
      </c>
      <c r="D51" s="36" t="s">
        <v>847</v>
      </c>
      <c r="E51" s="36" t="s">
        <v>364</v>
      </c>
      <c r="F51" s="36" t="s">
        <v>303</v>
      </c>
      <c r="G51" s="36" t="s">
        <v>848</v>
      </c>
      <c r="H51" s="105"/>
      <c r="I51" s="106" t="s">
        <v>708</v>
      </c>
      <c r="J51" s="105"/>
      <c r="K51" s="39" t="str">
        <f t="shared" si="1"/>
        <v/>
      </c>
      <c r="L51" s="36"/>
      <c r="M51" s="28"/>
    </row>
    <row r="52" spans="1:13" x14ac:dyDescent="0.2">
      <c r="A52" s="32" t="s">
        <v>849</v>
      </c>
      <c r="B52" s="36" t="s">
        <v>850</v>
      </c>
      <c r="C52" s="36" t="s">
        <v>719</v>
      </c>
      <c r="D52" s="36" t="s">
        <v>851</v>
      </c>
      <c r="E52" s="36" t="s">
        <v>842</v>
      </c>
      <c r="F52" s="36" t="s">
        <v>303</v>
      </c>
      <c r="G52" s="36" t="s">
        <v>118</v>
      </c>
      <c r="H52" s="105"/>
      <c r="I52" s="106" t="s">
        <v>708</v>
      </c>
      <c r="J52" s="105"/>
      <c r="K52" s="39" t="str">
        <f t="shared" si="1"/>
        <v/>
      </c>
      <c r="L52" s="36"/>
      <c r="M52" s="28"/>
    </row>
    <row r="53" spans="1:13" x14ac:dyDescent="0.2">
      <c r="A53" s="32" t="s">
        <v>852</v>
      </c>
      <c r="B53" s="36" t="s">
        <v>853</v>
      </c>
      <c r="C53" s="36" t="s">
        <v>719</v>
      </c>
      <c r="D53" s="36" t="s">
        <v>854</v>
      </c>
      <c r="E53" s="36" t="s">
        <v>849</v>
      </c>
      <c r="F53" s="36" t="s">
        <v>315</v>
      </c>
      <c r="G53" s="36" t="s">
        <v>855</v>
      </c>
      <c r="H53" s="105"/>
      <c r="I53" s="106" t="s">
        <v>708</v>
      </c>
      <c r="J53" s="105"/>
      <c r="K53" s="39" t="str">
        <f t="shared" si="1"/>
        <v/>
      </c>
      <c r="L53" s="36"/>
      <c r="M53" s="28"/>
    </row>
    <row r="54" spans="1:13" x14ac:dyDescent="0.2">
      <c r="A54" s="32" t="s">
        <v>856</v>
      </c>
      <c r="B54" s="36" t="s">
        <v>857</v>
      </c>
      <c r="C54" s="36" t="s">
        <v>719</v>
      </c>
      <c r="D54" s="36" t="s">
        <v>720</v>
      </c>
      <c r="E54" s="36" t="s">
        <v>858</v>
      </c>
      <c r="F54" s="36" t="s">
        <v>315</v>
      </c>
      <c r="G54" s="36" t="s">
        <v>859</v>
      </c>
      <c r="H54" s="105"/>
      <c r="I54" s="106" t="s">
        <v>708</v>
      </c>
      <c r="J54" s="105"/>
      <c r="K54" s="39" t="str">
        <f t="shared" si="1"/>
        <v/>
      </c>
      <c r="L54" s="36"/>
      <c r="M54" s="28"/>
    </row>
    <row r="55" spans="1:13" x14ac:dyDescent="0.2">
      <c r="A55" s="32" t="s">
        <v>860</v>
      </c>
      <c r="B55" s="36" t="s">
        <v>861</v>
      </c>
      <c r="C55" s="36" t="s">
        <v>719</v>
      </c>
      <c r="D55" s="36" t="s">
        <v>862</v>
      </c>
      <c r="E55" s="36" t="s">
        <v>856</v>
      </c>
      <c r="F55" s="36" t="s">
        <v>315</v>
      </c>
      <c r="G55" s="36" t="s">
        <v>863</v>
      </c>
      <c r="H55" s="105"/>
      <c r="I55" s="106" t="s">
        <v>708</v>
      </c>
      <c r="J55" s="105"/>
      <c r="K55" s="39" t="str">
        <f t="shared" si="1"/>
        <v/>
      </c>
      <c r="L55" s="36"/>
      <c r="M55" s="28"/>
    </row>
    <row r="56" spans="1:13" ht="20" customHeight="1" x14ac:dyDescent="0.2">
      <c r="A56" s="226"/>
      <c r="B56" s="227" t="s">
        <v>864</v>
      </c>
      <c r="C56" s="227"/>
      <c r="D56" s="227"/>
      <c r="E56" s="227"/>
      <c r="F56" s="227"/>
      <c r="G56" s="227"/>
      <c r="H56" s="228"/>
      <c r="I56" s="229"/>
      <c r="J56" s="228"/>
      <c r="K56" s="229" t="str">
        <f t="shared" si="1"/>
        <v/>
      </c>
      <c r="L56" s="227"/>
      <c r="M56" s="230"/>
    </row>
    <row r="57" spans="1:13" ht="26" x14ac:dyDescent="0.2">
      <c r="A57" s="32" t="s">
        <v>865</v>
      </c>
      <c r="B57" s="36" t="s">
        <v>866</v>
      </c>
      <c r="C57" s="36" t="s">
        <v>719</v>
      </c>
      <c r="D57" s="36" t="s">
        <v>720</v>
      </c>
      <c r="E57" s="36" t="s">
        <v>867</v>
      </c>
      <c r="F57" s="36" t="s">
        <v>315</v>
      </c>
      <c r="G57" s="36" t="s">
        <v>868</v>
      </c>
      <c r="H57" s="105"/>
      <c r="I57" s="106" t="s">
        <v>708</v>
      </c>
      <c r="J57" s="105"/>
      <c r="K57" s="39" t="str">
        <f t="shared" si="1"/>
        <v/>
      </c>
      <c r="L57" s="36"/>
      <c r="M57" s="28"/>
    </row>
    <row r="58" spans="1:13" x14ac:dyDescent="0.2">
      <c r="A58" s="32" t="s">
        <v>869</v>
      </c>
      <c r="B58" s="36" t="s">
        <v>870</v>
      </c>
      <c r="C58" s="36" t="s">
        <v>705</v>
      </c>
      <c r="D58" s="36" t="s">
        <v>706</v>
      </c>
      <c r="E58" s="36" t="s">
        <v>865</v>
      </c>
      <c r="F58" s="36" t="s">
        <v>315</v>
      </c>
      <c r="G58" s="36" t="s">
        <v>871</v>
      </c>
      <c r="H58" s="105"/>
      <c r="I58" s="106" t="s">
        <v>708</v>
      </c>
      <c r="J58" s="105"/>
      <c r="K58" s="39" t="str">
        <f t="shared" si="1"/>
        <v/>
      </c>
      <c r="L58" s="36"/>
      <c r="M58" s="28"/>
    </row>
    <row r="59" spans="1:13" x14ac:dyDescent="0.2">
      <c r="A59" s="32" t="s">
        <v>872</v>
      </c>
      <c r="B59" s="36" t="s">
        <v>873</v>
      </c>
      <c r="C59" s="36" t="s">
        <v>705</v>
      </c>
      <c r="D59" s="36" t="s">
        <v>706</v>
      </c>
      <c r="E59" s="36" t="s">
        <v>869</v>
      </c>
      <c r="F59" s="36" t="s">
        <v>315</v>
      </c>
      <c r="G59" s="36" t="s">
        <v>874</v>
      </c>
      <c r="H59" s="105"/>
      <c r="I59" s="106" t="s">
        <v>708</v>
      </c>
      <c r="J59" s="105"/>
      <c r="K59" s="39" t="str">
        <f t="shared" si="1"/>
        <v/>
      </c>
      <c r="L59" s="36"/>
      <c r="M59" s="28"/>
    </row>
    <row r="60" spans="1:13" x14ac:dyDescent="0.2">
      <c r="A60" s="32" t="s">
        <v>875</v>
      </c>
      <c r="B60" s="36" t="s">
        <v>876</v>
      </c>
      <c r="C60" s="36" t="s">
        <v>705</v>
      </c>
      <c r="D60" s="36" t="s">
        <v>706</v>
      </c>
      <c r="E60" s="36" t="s">
        <v>872</v>
      </c>
      <c r="F60" s="36" t="s">
        <v>315</v>
      </c>
      <c r="G60" s="36" t="s">
        <v>877</v>
      </c>
      <c r="H60" s="105"/>
      <c r="I60" s="106" t="s">
        <v>708</v>
      </c>
      <c r="J60" s="105"/>
      <c r="K60" s="39" t="str">
        <f t="shared" si="1"/>
        <v/>
      </c>
      <c r="L60" s="36"/>
      <c r="M60" s="28"/>
    </row>
    <row r="61" spans="1:13" x14ac:dyDescent="0.2">
      <c r="A61" s="33" t="s">
        <v>878</v>
      </c>
      <c r="B61" s="107" t="s">
        <v>879</v>
      </c>
      <c r="C61" s="107" t="s">
        <v>705</v>
      </c>
      <c r="D61" s="107" t="s">
        <v>706</v>
      </c>
      <c r="E61" s="107" t="s">
        <v>875</v>
      </c>
      <c r="F61" s="107" t="s">
        <v>315</v>
      </c>
      <c r="G61" s="107" t="s">
        <v>880</v>
      </c>
      <c r="H61" s="108"/>
      <c r="I61" s="109" t="s">
        <v>708</v>
      </c>
      <c r="J61" s="108"/>
      <c r="K61" s="41" t="str">
        <f t="shared" si="1"/>
        <v/>
      </c>
      <c r="L61" s="107"/>
      <c r="M61" s="29"/>
    </row>
  </sheetData>
  <mergeCells count="2">
    <mergeCell ref="A1:M1"/>
    <mergeCell ref="A2:M2"/>
  </mergeCells>
  <conditionalFormatting sqref="I9:I61">
    <cfRule type="containsText" dxfId="136" priority="1" operator="containsText" text="Complete">
      <formula>NOT(ISERROR(SEARCH("Complete",I9)))</formula>
    </cfRule>
    <cfRule type="containsText" dxfId="135" priority="2" operator="containsText" text="Blocked">
      <formula>NOT(ISERROR(SEARCH("Blocked",I9)))</formula>
    </cfRule>
    <cfRule type="containsText" dxfId="134" priority="3" operator="containsText" text="In Progress">
      <formula>NOT(ISERROR(SEARCH("In Progress",I9)))</formula>
    </cfRule>
    <cfRule type="containsText" dxfId="133" priority="4" operator="containsText" text="Submitted">
      <formula>NOT(ISERROR(SEARCH("Submitted",I9)))</formula>
    </cfRule>
  </conditionalFormatting>
  <dataValidations count="1">
    <dataValidation type="list" allowBlank="1" showInputMessage="1" showErrorMessage="1" sqref="I9:I15 I17:I61 I16" xr:uid="{D298DDBA-7231-8B49-A43A-D95304DB2BE5}">
      <formula1>"Not Started,In Progress,Submitted,Complete,Blocked,N/A"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809D1-483B-F946-9E80-BE9FE4FB454F}">
  <dimension ref="A1:K30"/>
  <sheetViews>
    <sheetView workbookViewId="0">
      <pane ySplit="7" topLeftCell="A8" activePane="bottomLeft" state="frozen"/>
      <selection pane="bottomLeft" sqref="A1:J1"/>
    </sheetView>
  </sheetViews>
  <sheetFormatPr baseColWidth="10" defaultColWidth="11" defaultRowHeight="16" x14ac:dyDescent="0.2"/>
  <cols>
    <col min="1" max="1" width="8.6640625" style="3" customWidth="1"/>
    <col min="2" max="2" width="56.6640625" style="3" customWidth="1"/>
    <col min="3" max="3" width="25" style="3" customWidth="1"/>
    <col min="4" max="4" width="16.6640625" style="3" customWidth="1"/>
    <col min="5" max="7" width="13.33203125" style="3" customWidth="1"/>
    <col min="8" max="8" width="16.6640625" style="3" customWidth="1"/>
    <col min="9" max="9" width="38.33203125" style="3" customWidth="1"/>
    <col min="10" max="10" width="26.6640625" style="3" customWidth="1"/>
  </cols>
  <sheetData>
    <row r="1" spans="1:11" ht="26" customHeight="1" x14ac:dyDescent="0.2">
      <c r="A1" s="249" t="s">
        <v>881</v>
      </c>
      <c r="B1" s="249"/>
      <c r="C1" s="249"/>
      <c r="D1" s="249"/>
      <c r="E1" s="249"/>
      <c r="F1" s="249"/>
      <c r="G1" s="249"/>
      <c r="H1" s="249"/>
      <c r="I1" s="249"/>
      <c r="J1" s="249"/>
      <c r="K1" s="4"/>
    </row>
    <row r="2" spans="1:11" ht="30" customHeight="1" x14ac:dyDescent="0.2">
      <c r="A2" s="257" t="s">
        <v>882</v>
      </c>
      <c r="B2" s="257"/>
      <c r="C2" s="257"/>
      <c r="D2" s="257"/>
      <c r="E2" s="257"/>
      <c r="F2" s="257"/>
      <c r="G2" s="257"/>
      <c r="H2" s="257"/>
      <c r="I2" s="257"/>
      <c r="J2" s="257"/>
      <c r="K2" s="4"/>
    </row>
    <row r="3" spans="1:11" x14ac:dyDescent="0.2">
      <c r="A3" s="4"/>
      <c r="B3" s="4"/>
      <c r="C3" s="4"/>
      <c r="D3" s="4"/>
      <c r="E3" s="4"/>
      <c r="F3" s="4"/>
      <c r="G3" s="4"/>
      <c r="H3" s="4"/>
      <c r="I3" s="4"/>
      <c r="J3" s="4"/>
      <c r="K3" s="4"/>
    </row>
    <row r="4" spans="1:11" ht="22" customHeight="1" x14ac:dyDescent="0.2">
      <c r="A4" s="231" t="s">
        <v>883</v>
      </c>
      <c r="B4" s="231"/>
      <c r="C4" s="231"/>
      <c r="D4" s="232">
        <f>DATE(2026,12,21)</f>
        <v>46377</v>
      </c>
      <c r="E4" s="231" t="s">
        <v>884</v>
      </c>
      <c r="F4" s="231"/>
      <c r="G4" s="231"/>
      <c r="H4" s="232">
        <f>$D$4-14</f>
        <v>46363</v>
      </c>
      <c r="I4" s="231" t="s">
        <v>885</v>
      </c>
      <c r="J4" s="231"/>
      <c r="K4" s="231" t="str">
        <f>COUNTIF($H$8:$H$40,"Complete")&amp;" / "&amp;COUNTA($A$8:$A$40)</f>
        <v>0 / 23</v>
      </c>
    </row>
    <row r="5" spans="1:11" x14ac:dyDescent="0.2">
      <c r="A5" s="4"/>
      <c r="B5" s="4"/>
      <c r="C5" s="4"/>
      <c r="D5" s="4"/>
      <c r="E5" s="4"/>
      <c r="F5" s="4"/>
      <c r="G5" s="4"/>
      <c r="H5" s="4"/>
      <c r="I5" s="4"/>
      <c r="J5" s="4"/>
      <c r="K5" s="4"/>
    </row>
    <row r="6" spans="1:11" x14ac:dyDescent="0.2">
      <c r="A6" s="4"/>
      <c r="B6" s="4"/>
      <c r="C6" s="4"/>
      <c r="D6" s="4"/>
      <c r="E6" s="4"/>
      <c r="F6" s="4"/>
      <c r="G6" s="4"/>
      <c r="H6" s="4"/>
      <c r="I6" s="4"/>
      <c r="J6" s="4"/>
      <c r="K6" s="4"/>
    </row>
    <row r="7" spans="1:11" ht="40" customHeight="1" x14ac:dyDescent="0.2">
      <c r="A7" s="48" t="s">
        <v>691</v>
      </c>
      <c r="B7" s="48" t="s">
        <v>886</v>
      </c>
      <c r="C7" s="48" t="s">
        <v>442</v>
      </c>
      <c r="D7" s="48" t="s">
        <v>887</v>
      </c>
      <c r="E7" s="48" t="s">
        <v>888</v>
      </c>
      <c r="F7" s="48" t="s">
        <v>698</v>
      </c>
      <c r="G7" s="48" t="s">
        <v>699</v>
      </c>
      <c r="H7" s="48" t="s">
        <v>448</v>
      </c>
      <c r="I7" s="48" t="s">
        <v>889</v>
      </c>
      <c r="J7" s="48" t="s">
        <v>299</v>
      </c>
      <c r="K7" s="4"/>
    </row>
    <row r="8" spans="1:11" ht="26" x14ac:dyDescent="0.2">
      <c r="A8" s="114" t="s">
        <v>890</v>
      </c>
      <c r="B8" s="115" t="s">
        <v>891</v>
      </c>
      <c r="C8" s="115" t="s">
        <v>763</v>
      </c>
      <c r="D8" s="115" t="s">
        <v>364</v>
      </c>
      <c r="E8" s="115" t="s">
        <v>364</v>
      </c>
      <c r="F8" s="116"/>
      <c r="G8" s="116"/>
      <c r="H8" s="117" t="s">
        <v>708</v>
      </c>
      <c r="I8" s="115" t="s">
        <v>892</v>
      </c>
      <c r="J8" s="118"/>
      <c r="K8" s="4"/>
    </row>
    <row r="9" spans="1:11" x14ac:dyDescent="0.2">
      <c r="A9" s="32" t="s">
        <v>893</v>
      </c>
      <c r="B9" s="36" t="s">
        <v>894</v>
      </c>
      <c r="C9" s="36" t="s">
        <v>315</v>
      </c>
      <c r="D9" s="36" t="s">
        <v>890</v>
      </c>
      <c r="E9" s="36" t="s">
        <v>895</v>
      </c>
      <c r="F9" s="105"/>
      <c r="G9" s="105"/>
      <c r="H9" s="106" t="s">
        <v>708</v>
      </c>
      <c r="I9" s="36" t="s">
        <v>896</v>
      </c>
      <c r="J9" s="28"/>
      <c r="K9" s="4"/>
    </row>
    <row r="10" spans="1:11" x14ac:dyDescent="0.2">
      <c r="A10" s="32" t="s">
        <v>897</v>
      </c>
      <c r="B10" s="36" t="s">
        <v>898</v>
      </c>
      <c r="C10" s="36" t="s">
        <v>763</v>
      </c>
      <c r="D10" s="36" t="s">
        <v>893</v>
      </c>
      <c r="E10" s="36" t="s">
        <v>364</v>
      </c>
      <c r="F10" s="105"/>
      <c r="G10" s="105"/>
      <c r="H10" s="106" t="s">
        <v>708</v>
      </c>
      <c r="I10" s="36" t="s">
        <v>899</v>
      </c>
      <c r="J10" s="28"/>
      <c r="K10" s="4"/>
    </row>
    <row r="11" spans="1:11" x14ac:dyDescent="0.2">
      <c r="A11" s="32" t="s">
        <v>900</v>
      </c>
      <c r="B11" s="36" t="s">
        <v>901</v>
      </c>
      <c r="C11" s="36" t="s">
        <v>303</v>
      </c>
      <c r="D11" s="36" t="s">
        <v>897</v>
      </c>
      <c r="E11" s="36" t="s">
        <v>458</v>
      </c>
      <c r="F11" s="105"/>
      <c r="G11" s="105"/>
      <c r="H11" s="106" t="s">
        <v>708</v>
      </c>
      <c r="I11" s="36" t="s">
        <v>902</v>
      </c>
      <c r="J11" s="28"/>
      <c r="K11" s="4"/>
    </row>
    <row r="12" spans="1:11" ht="26" x14ac:dyDescent="0.2">
      <c r="A12" s="32" t="s">
        <v>903</v>
      </c>
      <c r="B12" s="36" t="s">
        <v>904</v>
      </c>
      <c r="C12" s="36" t="s">
        <v>763</v>
      </c>
      <c r="D12" s="36" t="s">
        <v>900</v>
      </c>
      <c r="E12" s="36" t="s">
        <v>364</v>
      </c>
      <c r="F12" s="105"/>
      <c r="G12" s="105"/>
      <c r="H12" s="106" t="s">
        <v>708</v>
      </c>
      <c r="I12" s="36" t="s">
        <v>905</v>
      </c>
      <c r="J12" s="28"/>
      <c r="K12" s="4"/>
    </row>
    <row r="13" spans="1:11" x14ac:dyDescent="0.2">
      <c r="A13" s="32" t="s">
        <v>906</v>
      </c>
      <c r="B13" s="36" t="s">
        <v>907</v>
      </c>
      <c r="C13" s="36" t="s">
        <v>303</v>
      </c>
      <c r="D13" s="36" t="s">
        <v>903</v>
      </c>
      <c r="E13" s="36" t="s">
        <v>458</v>
      </c>
      <c r="F13" s="105"/>
      <c r="G13" s="105"/>
      <c r="H13" s="106" t="s">
        <v>708</v>
      </c>
      <c r="I13" s="36" t="s">
        <v>908</v>
      </c>
      <c r="J13" s="28"/>
      <c r="K13" s="4"/>
    </row>
    <row r="14" spans="1:11" ht="26" x14ac:dyDescent="0.2">
      <c r="A14" s="32" t="s">
        <v>909</v>
      </c>
      <c r="B14" s="36" t="s">
        <v>910</v>
      </c>
      <c r="C14" s="36" t="s">
        <v>911</v>
      </c>
      <c r="D14" s="36" t="s">
        <v>364</v>
      </c>
      <c r="E14" s="36" t="s">
        <v>364</v>
      </c>
      <c r="F14" s="105"/>
      <c r="G14" s="105"/>
      <c r="H14" s="106" t="s">
        <v>708</v>
      </c>
      <c r="I14" s="36" t="s">
        <v>912</v>
      </c>
      <c r="J14" s="28"/>
      <c r="K14" s="4"/>
    </row>
    <row r="15" spans="1:11" x14ac:dyDescent="0.2">
      <c r="A15" s="32" t="s">
        <v>913</v>
      </c>
      <c r="B15" s="36" t="s">
        <v>914</v>
      </c>
      <c r="C15" s="36" t="s">
        <v>763</v>
      </c>
      <c r="D15" s="36" t="s">
        <v>903</v>
      </c>
      <c r="E15" s="36" t="s">
        <v>364</v>
      </c>
      <c r="F15" s="105"/>
      <c r="G15" s="105"/>
      <c r="H15" s="106" t="s">
        <v>708</v>
      </c>
      <c r="I15" s="36" t="s">
        <v>915</v>
      </c>
      <c r="J15" s="28"/>
      <c r="K15" s="4"/>
    </row>
    <row r="16" spans="1:11" ht="26" x14ac:dyDescent="0.2">
      <c r="A16" s="32" t="s">
        <v>916</v>
      </c>
      <c r="B16" s="36" t="s">
        <v>917</v>
      </c>
      <c r="C16" s="36" t="s">
        <v>763</v>
      </c>
      <c r="D16" s="36" t="s">
        <v>918</v>
      </c>
      <c r="E16" s="36" t="s">
        <v>497</v>
      </c>
      <c r="F16" s="105"/>
      <c r="G16" s="105"/>
      <c r="H16" s="106" t="s">
        <v>708</v>
      </c>
      <c r="I16" s="36" t="s">
        <v>764</v>
      </c>
      <c r="J16" s="28"/>
      <c r="K16" s="4"/>
    </row>
    <row r="17" spans="1:11" x14ac:dyDescent="0.2">
      <c r="A17" s="32" t="s">
        <v>919</v>
      </c>
      <c r="B17" s="36" t="s">
        <v>920</v>
      </c>
      <c r="C17" s="36" t="s">
        <v>537</v>
      </c>
      <c r="D17" s="36" t="s">
        <v>916</v>
      </c>
      <c r="E17" s="36" t="s">
        <v>497</v>
      </c>
      <c r="F17" s="105"/>
      <c r="G17" s="105"/>
      <c r="H17" s="106" t="s">
        <v>708</v>
      </c>
      <c r="I17" s="36" t="s">
        <v>921</v>
      </c>
      <c r="J17" s="28"/>
      <c r="K17" s="4"/>
    </row>
    <row r="18" spans="1:11" x14ac:dyDescent="0.2">
      <c r="A18" s="32" t="s">
        <v>922</v>
      </c>
      <c r="B18" s="36" t="s">
        <v>923</v>
      </c>
      <c r="C18" s="36" t="s">
        <v>924</v>
      </c>
      <c r="D18" s="36" t="s">
        <v>916</v>
      </c>
      <c r="E18" s="36" t="s">
        <v>497</v>
      </c>
      <c r="F18" s="105"/>
      <c r="G18" s="105"/>
      <c r="H18" s="106" t="s">
        <v>708</v>
      </c>
      <c r="I18" s="36" t="s">
        <v>921</v>
      </c>
      <c r="J18" s="28"/>
      <c r="K18" s="4"/>
    </row>
    <row r="19" spans="1:11" ht="26" x14ac:dyDescent="0.2">
      <c r="A19" s="32" t="s">
        <v>925</v>
      </c>
      <c r="B19" s="36" t="s">
        <v>926</v>
      </c>
      <c r="C19" s="36" t="s">
        <v>927</v>
      </c>
      <c r="D19" s="36" t="s">
        <v>916</v>
      </c>
      <c r="E19" s="36" t="s">
        <v>497</v>
      </c>
      <c r="F19" s="105"/>
      <c r="G19" s="105"/>
      <c r="H19" s="106" t="s">
        <v>708</v>
      </c>
      <c r="I19" s="36" t="s">
        <v>921</v>
      </c>
      <c r="J19" s="28"/>
      <c r="K19" s="4"/>
    </row>
    <row r="20" spans="1:11" x14ac:dyDescent="0.2">
      <c r="A20" s="32" t="s">
        <v>928</v>
      </c>
      <c r="B20" s="36" t="s">
        <v>929</v>
      </c>
      <c r="C20" s="36" t="s">
        <v>763</v>
      </c>
      <c r="D20" s="36" t="s">
        <v>916</v>
      </c>
      <c r="E20" s="36" t="s">
        <v>364</v>
      </c>
      <c r="F20" s="105"/>
      <c r="G20" s="105"/>
      <c r="H20" s="106" t="s">
        <v>708</v>
      </c>
      <c r="I20" s="36" t="s">
        <v>777</v>
      </c>
      <c r="J20" s="28"/>
      <c r="K20" s="4"/>
    </row>
    <row r="21" spans="1:11" ht="26" x14ac:dyDescent="0.2">
      <c r="A21" s="32" t="s">
        <v>930</v>
      </c>
      <c r="B21" s="36" t="s">
        <v>931</v>
      </c>
      <c r="C21" s="36" t="s">
        <v>315</v>
      </c>
      <c r="D21" s="36" t="s">
        <v>932</v>
      </c>
      <c r="E21" s="36" t="s">
        <v>364</v>
      </c>
      <c r="F21" s="105"/>
      <c r="G21" s="105"/>
      <c r="H21" s="106" t="s">
        <v>708</v>
      </c>
      <c r="I21" s="36" t="s">
        <v>933</v>
      </c>
      <c r="J21" s="28"/>
      <c r="K21" s="4"/>
    </row>
    <row r="22" spans="1:11" x14ac:dyDescent="0.2">
      <c r="A22" s="32" t="s">
        <v>934</v>
      </c>
      <c r="B22" s="36" t="s">
        <v>935</v>
      </c>
      <c r="C22" s="36" t="s">
        <v>474</v>
      </c>
      <c r="D22" s="36" t="s">
        <v>930</v>
      </c>
      <c r="E22" s="36" t="s">
        <v>592</v>
      </c>
      <c r="F22" s="105"/>
      <c r="G22" s="105"/>
      <c r="H22" s="106" t="s">
        <v>708</v>
      </c>
      <c r="I22" s="36" t="s">
        <v>936</v>
      </c>
      <c r="J22" s="28"/>
      <c r="K22" s="4"/>
    </row>
    <row r="23" spans="1:11" x14ac:dyDescent="0.2">
      <c r="A23" s="32" t="s">
        <v>937</v>
      </c>
      <c r="B23" s="36" t="s">
        <v>938</v>
      </c>
      <c r="C23" s="36" t="s">
        <v>315</v>
      </c>
      <c r="D23" s="36" t="s">
        <v>930</v>
      </c>
      <c r="E23" s="36" t="s">
        <v>546</v>
      </c>
      <c r="F23" s="105"/>
      <c r="G23" s="105"/>
      <c r="H23" s="106" t="s">
        <v>708</v>
      </c>
      <c r="I23" s="36" t="s">
        <v>939</v>
      </c>
      <c r="J23" s="28"/>
      <c r="K23" s="4"/>
    </row>
    <row r="24" spans="1:11" ht="26" x14ac:dyDescent="0.2">
      <c r="A24" s="32" t="s">
        <v>940</v>
      </c>
      <c r="B24" s="36" t="s">
        <v>941</v>
      </c>
      <c r="C24" s="36" t="s">
        <v>303</v>
      </c>
      <c r="D24" s="36" t="s">
        <v>937</v>
      </c>
      <c r="E24" s="36" t="s">
        <v>364</v>
      </c>
      <c r="F24" s="105"/>
      <c r="G24" s="105"/>
      <c r="H24" s="106" t="s">
        <v>708</v>
      </c>
      <c r="I24" s="36" t="s">
        <v>942</v>
      </c>
      <c r="J24" s="28"/>
      <c r="K24" s="4"/>
    </row>
    <row r="25" spans="1:11" ht="26" x14ac:dyDescent="0.2">
      <c r="A25" s="119" t="s">
        <v>943</v>
      </c>
      <c r="B25" s="120" t="s">
        <v>944</v>
      </c>
      <c r="C25" s="120" t="s">
        <v>545</v>
      </c>
      <c r="D25" s="120" t="s">
        <v>945</v>
      </c>
      <c r="E25" s="120" t="s">
        <v>364</v>
      </c>
      <c r="F25" s="121"/>
      <c r="G25" s="121"/>
      <c r="H25" s="122" t="s">
        <v>708</v>
      </c>
      <c r="I25" s="120" t="s">
        <v>946</v>
      </c>
      <c r="J25" s="123"/>
      <c r="K25" s="4"/>
    </row>
    <row r="26" spans="1:11" x14ac:dyDescent="0.2">
      <c r="A26" s="32" t="s">
        <v>947</v>
      </c>
      <c r="B26" s="36" t="s">
        <v>948</v>
      </c>
      <c r="C26" s="36" t="s">
        <v>949</v>
      </c>
      <c r="D26" s="36" t="s">
        <v>943</v>
      </c>
      <c r="E26" s="36" t="s">
        <v>592</v>
      </c>
      <c r="F26" s="105"/>
      <c r="G26" s="105"/>
      <c r="H26" s="106" t="s">
        <v>708</v>
      </c>
      <c r="I26" s="36" t="s">
        <v>950</v>
      </c>
      <c r="J26" s="28"/>
      <c r="K26" s="4"/>
    </row>
    <row r="27" spans="1:11" x14ac:dyDescent="0.2">
      <c r="A27" s="119" t="s">
        <v>951</v>
      </c>
      <c r="B27" s="120" t="s">
        <v>952</v>
      </c>
      <c r="C27" s="120" t="s">
        <v>550</v>
      </c>
      <c r="D27" s="120" t="s">
        <v>943</v>
      </c>
      <c r="E27" s="120" t="s">
        <v>364</v>
      </c>
      <c r="F27" s="121"/>
      <c r="G27" s="121"/>
      <c r="H27" s="122" t="s">
        <v>708</v>
      </c>
      <c r="I27" s="120" t="s">
        <v>953</v>
      </c>
      <c r="J27" s="123"/>
      <c r="K27" s="4"/>
    </row>
    <row r="28" spans="1:11" x14ac:dyDescent="0.2">
      <c r="A28" s="32" t="s">
        <v>954</v>
      </c>
      <c r="B28" s="36" t="s">
        <v>955</v>
      </c>
      <c r="C28" s="36" t="s">
        <v>315</v>
      </c>
      <c r="D28" s="36" t="s">
        <v>951</v>
      </c>
      <c r="E28" s="36" t="s">
        <v>364</v>
      </c>
      <c r="F28" s="105"/>
      <c r="G28" s="105"/>
      <c r="H28" s="106" t="s">
        <v>708</v>
      </c>
      <c r="I28" s="36" t="s">
        <v>956</v>
      </c>
      <c r="J28" s="28"/>
      <c r="K28" s="4"/>
    </row>
    <row r="29" spans="1:11" x14ac:dyDescent="0.2">
      <c r="A29" s="32" t="s">
        <v>957</v>
      </c>
      <c r="B29" s="36" t="s">
        <v>958</v>
      </c>
      <c r="C29" s="36" t="s">
        <v>763</v>
      </c>
      <c r="D29" s="36" t="s">
        <v>951</v>
      </c>
      <c r="E29" s="36" t="s">
        <v>364</v>
      </c>
      <c r="F29" s="105"/>
      <c r="G29" s="105"/>
      <c r="H29" s="106" t="s">
        <v>708</v>
      </c>
      <c r="I29" s="36" t="s">
        <v>863</v>
      </c>
      <c r="J29" s="28"/>
      <c r="K29" s="4"/>
    </row>
    <row r="30" spans="1:11" x14ac:dyDescent="0.2">
      <c r="A30" s="33" t="s">
        <v>959</v>
      </c>
      <c r="B30" s="107" t="s">
        <v>960</v>
      </c>
      <c r="C30" s="107" t="s">
        <v>763</v>
      </c>
      <c r="D30" s="107" t="s">
        <v>951</v>
      </c>
      <c r="E30" s="107" t="s">
        <v>364</v>
      </c>
      <c r="F30" s="108"/>
      <c r="G30" s="108"/>
      <c r="H30" s="109" t="s">
        <v>708</v>
      </c>
      <c r="I30" s="107" t="s">
        <v>961</v>
      </c>
      <c r="J30" s="29"/>
      <c r="K30" s="4"/>
    </row>
  </sheetData>
  <mergeCells count="2">
    <mergeCell ref="A1:J1"/>
    <mergeCell ref="A2:J2"/>
  </mergeCells>
  <conditionalFormatting sqref="H8:H30">
    <cfRule type="containsText" dxfId="132" priority="1" operator="containsText" text="Complete">
      <formula>NOT(ISERROR(SEARCH("Complete",H8)))</formula>
    </cfRule>
    <cfRule type="containsText" dxfId="131" priority="2" operator="containsText" text="Failed">
      <formula>NOT(ISERROR(SEARCH("Failed",H8)))</formula>
    </cfRule>
    <cfRule type="containsText" dxfId="130" priority="3" operator="containsText" text="Blocked">
      <formula>NOT(ISERROR(SEARCH("Blocked",H8)))</formula>
    </cfRule>
    <cfRule type="containsText" dxfId="129" priority="4" operator="containsText" text="In Progress">
      <formula>NOT(ISERROR(SEARCH("In Progress",H8)))</formula>
    </cfRule>
    <cfRule type="containsText" dxfId="128" priority="5" operator="containsText" text="Scheduled">
      <formula>NOT(ISERROR(SEARCH("Scheduled",H8)))</formula>
    </cfRule>
  </conditionalFormatting>
  <dataValidations count="1">
    <dataValidation type="list" allowBlank="1" showInputMessage="1" showErrorMessage="1" sqref="H8:H30" xr:uid="{18313D34-E424-CE40-8DB3-5B167F7CF1C7}">
      <formula1>"Not Started,In Progress,Scheduled,Complete,Failed - Re-test,Blocked,N/A"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DE5C-BFA3-A340-8769-352660BC4F64}">
  <dimension ref="A1:J120"/>
  <sheetViews>
    <sheetView workbookViewId="0">
      <pane ySplit="6" topLeftCell="A69" activePane="bottomLeft" state="frozen"/>
      <selection pane="bottomLeft" activeCell="B132" sqref="B132"/>
    </sheetView>
  </sheetViews>
  <sheetFormatPr baseColWidth="10" defaultColWidth="11" defaultRowHeight="16" x14ac:dyDescent="0.2"/>
  <cols>
    <col min="1" max="1" width="8.6640625" style="3" customWidth="1"/>
    <col min="2" max="2" width="66.6640625" style="3" customWidth="1"/>
    <col min="3" max="3" width="25" style="3" customWidth="1"/>
    <col min="4" max="4" width="55" style="3" customWidth="1"/>
    <col min="5" max="5" width="33.33203125" style="3" customWidth="1"/>
    <col min="6" max="6" width="14.6640625" style="3" customWidth="1"/>
    <col min="7" max="7" width="18.33203125" style="3" customWidth="1"/>
    <col min="8" max="8" width="13.33203125" style="3" customWidth="1"/>
    <col min="9" max="9" width="33.33203125" style="3" customWidth="1"/>
    <col min="10" max="10" width="28.33203125" style="3" customWidth="1"/>
  </cols>
  <sheetData>
    <row r="1" spans="1:10" ht="28" customHeight="1" x14ac:dyDescent="0.2">
      <c r="A1" s="249" t="s">
        <v>962</v>
      </c>
      <c r="B1" s="249"/>
      <c r="C1" s="249"/>
      <c r="D1" s="249"/>
      <c r="E1" s="249"/>
      <c r="F1" s="249"/>
      <c r="G1" s="249"/>
      <c r="H1" s="249"/>
      <c r="I1" s="249"/>
      <c r="J1" s="249"/>
    </row>
    <row r="2" spans="1:10" ht="58" customHeight="1" x14ac:dyDescent="0.2">
      <c r="A2" s="267" t="s">
        <v>963</v>
      </c>
      <c r="B2" s="267"/>
      <c r="C2" s="267"/>
      <c r="D2" s="267"/>
      <c r="E2" s="267"/>
      <c r="F2" s="267"/>
      <c r="G2" s="267"/>
      <c r="H2" s="267"/>
      <c r="I2" s="267"/>
      <c r="J2" s="267"/>
    </row>
    <row r="3" spans="1:10" x14ac:dyDescent="0.2">
      <c r="A3" s="4"/>
      <c r="B3" s="4"/>
      <c r="C3" s="4"/>
      <c r="D3" s="4"/>
      <c r="E3" s="4"/>
      <c r="F3" s="4"/>
      <c r="G3" s="4"/>
      <c r="H3" s="4"/>
      <c r="I3" s="4"/>
      <c r="J3" s="4"/>
    </row>
    <row r="4" spans="1:10" ht="22" customHeight="1" x14ac:dyDescent="0.2">
      <c r="A4" s="110" t="s">
        <v>964</v>
      </c>
      <c r="B4" s="126">
        <f>COUNTIF($A$7:$A$130,"H-*")</f>
        <v>101</v>
      </c>
      <c r="C4" s="110" t="s">
        <v>965</v>
      </c>
      <c r="D4" s="126">
        <f>COUNTIF($F$7:$F$130,"Verified")</f>
        <v>0</v>
      </c>
      <c r="E4" s="110" t="s">
        <v>689</v>
      </c>
      <c r="F4" s="126">
        <f>$B$4-$D$4-COUNTIF($F$7:$F$130,"N/A")</f>
        <v>101</v>
      </c>
      <c r="G4" s="110" t="s">
        <v>966</v>
      </c>
      <c r="H4" s="126">
        <f>COUNTIF($C$7:$C$130,"Affect Build")+COUNTIF($C$7:$C$130,"Shared — AB / Owner's Vendor")</f>
        <v>56</v>
      </c>
      <c r="I4" s="110" t="s">
        <v>967</v>
      </c>
      <c r="J4" s="127">
        <f>IF($B$4=0,0,$D$4/$B$4)</f>
        <v>0</v>
      </c>
    </row>
    <row r="5" spans="1:10" x14ac:dyDescent="0.2">
      <c r="A5" s="4"/>
      <c r="B5" s="4"/>
      <c r="C5" s="4"/>
      <c r="D5" s="4"/>
      <c r="E5" s="4"/>
      <c r="F5" s="4"/>
      <c r="G5" s="4"/>
      <c r="H5" s="4"/>
      <c r="I5" s="4"/>
      <c r="J5" s="4"/>
    </row>
    <row r="6" spans="1:10" ht="42" customHeight="1" x14ac:dyDescent="0.2">
      <c r="A6" s="48" t="s">
        <v>968</v>
      </c>
      <c r="B6" s="48" t="s">
        <v>969</v>
      </c>
      <c r="C6" s="48" t="s">
        <v>970</v>
      </c>
      <c r="D6" s="48" t="s">
        <v>971</v>
      </c>
      <c r="E6" s="48" t="s">
        <v>889</v>
      </c>
      <c r="F6" s="48" t="s">
        <v>448</v>
      </c>
      <c r="G6" s="48" t="s">
        <v>972</v>
      </c>
      <c r="H6" s="48" t="s">
        <v>973</v>
      </c>
      <c r="I6" s="48" t="s">
        <v>974</v>
      </c>
      <c r="J6" s="48" t="s">
        <v>299</v>
      </c>
    </row>
    <row r="7" spans="1:10" ht="20" customHeight="1" x14ac:dyDescent="0.2">
      <c r="A7" s="268" t="s">
        <v>975</v>
      </c>
      <c r="B7" s="268"/>
      <c r="C7" s="268"/>
      <c r="D7" s="268"/>
      <c r="E7" s="268"/>
      <c r="F7" s="268"/>
      <c r="G7" s="268"/>
      <c r="H7" s="268"/>
      <c r="I7" s="268"/>
      <c r="J7" s="268"/>
    </row>
    <row r="8" spans="1:10" ht="26" x14ac:dyDescent="0.2">
      <c r="A8" s="76" t="s">
        <v>976</v>
      </c>
      <c r="B8" s="77" t="s">
        <v>977</v>
      </c>
      <c r="C8" s="77" t="s">
        <v>978</v>
      </c>
      <c r="D8" s="77" t="s">
        <v>979</v>
      </c>
      <c r="E8" s="77" t="s">
        <v>980</v>
      </c>
      <c r="F8" s="79"/>
      <c r="G8" s="79"/>
      <c r="H8" s="124"/>
      <c r="I8" s="77" t="s">
        <v>981</v>
      </c>
      <c r="J8" s="80"/>
    </row>
    <row r="9" spans="1:10" ht="26" x14ac:dyDescent="0.2">
      <c r="A9" s="76" t="s">
        <v>982</v>
      </c>
      <c r="B9" s="77" t="s">
        <v>983</v>
      </c>
      <c r="C9" s="77" t="s">
        <v>978</v>
      </c>
      <c r="D9" s="77" t="s">
        <v>984</v>
      </c>
      <c r="E9" s="77" t="s">
        <v>985</v>
      </c>
      <c r="F9" s="79"/>
      <c r="G9" s="79"/>
      <c r="H9" s="124"/>
      <c r="I9" s="77" t="s">
        <v>986</v>
      </c>
      <c r="J9" s="80"/>
    </row>
    <row r="10" spans="1:10" x14ac:dyDescent="0.2">
      <c r="A10" s="76" t="s">
        <v>987</v>
      </c>
      <c r="B10" s="77" t="s">
        <v>988</v>
      </c>
      <c r="C10" s="77" t="s">
        <v>978</v>
      </c>
      <c r="D10" s="77" t="s">
        <v>989</v>
      </c>
      <c r="E10" s="77" t="s">
        <v>990</v>
      </c>
      <c r="F10" s="79"/>
      <c r="G10" s="79"/>
      <c r="H10" s="124"/>
      <c r="I10" s="77" t="s">
        <v>991</v>
      </c>
      <c r="J10" s="80"/>
    </row>
    <row r="11" spans="1:10" ht="26" x14ac:dyDescent="0.2">
      <c r="A11" s="76" t="s">
        <v>992</v>
      </c>
      <c r="B11" s="77" t="s">
        <v>993</v>
      </c>
      <c r="C11" s="77" t="s">
        <v>978</v>
      </c>
      <c r="D11" s="77" t="s">
        <v>994</v>
      </c>
      <c r="E11" s="77" t="s">
        <v>995</v>
      </c>
      <c r="F11" s="79"/>
      <c r="G11" s="79"/>
      <c r="H11" s="124"/>
      <c r="I11" s="77" t="s">
        <v>996</v>
      </c>
      <c r="J11" s="80"/>
    </row>
    <row r="12" spans="1:10" x14ac:dyDescent="0.2">
      <c r="A12" s="76" t="s">
        <v>997</v>
      </c>
      <c r="B12" s="77" t="s">
        <v>998</v>
      </c>
      <c r="C12" s="77" t="s">
        <v>978</v>
      </c>
      <c r="D12" s="77" t="s">
        <v>999</v>
      </c>
      <c r="E12" s="77" t="s">
        <v>1000</v>
      </c>
      <c r="F12" s="79"/>
      <c r="G12" s="79"/>
      <c r="H12" s="124"/>
      <c r="I12" s="77" t="s">
        <v>1001</v>
      </c>
      <c r="J12" s="80"/>
    </row>
    <row r="13" spans="1:10" x14ac:dyDescent="0.2">
      <c r="A13" s="76" t="s">
        <v>1002</v>
      </c>
      <c r="B13" s="77" t="s">
        <v>1003</v>
      </c>
      <c r="C13" s="77" t="s">
        <v>978</v>
      </c>
      <c r="D13" s="77" t="s">
        <v>1004</v>
      </c>
      <c r="E13" s="77" t="s">
        <v>1005</v>
      </c>
      <c r="F13" s="79"/>
      <c r="G13" s="79"/>
      <c r="H13" s="124"/>
      <c r="I13" s="77" t="s">
        <v>1006</v>
      </c>
      <c r="J13" s="80"/>
    </row>
    <row r="14" spans="1:10" x14ac:dyDescent="0.2">
      <c r="A14" s="76" t="s">
        <v>1007</v>
      </c>
      <c r="B14" s="77" t="s">
        <v>1008</v>
      </c>
      <c r="C14" s="77" t="s">
        <v>54</v>
      </c>
      <c r="D14" s="77" t="s">
        <v>1009</v>
      </c>
      <c r="E14" s="77" t="s">
        <v>1010</v>
      </c>
      <c r="F14" s="79"/>
      <c r="G14" s="79"/>
      <c r="H14" s="124"/>
      <c r="I14" s="77" t="s">
        <v>1011</v>
      </c>
      <c r="J14" s="80"/>
    </row>
    <row r="15" spans="1:10" x14ac:dyDescent="0.2">
      <c r="A15" s="76" t="s">
        <v>1012</v>
      </c>
      <c r="B15" s="77" t="s">
        <v>1013</v>
      </c>
      <c r="C15" s="77" t="s">
        <v>54</v>
      </c>
      <c r="D15" s="77" t="s">
        <v>1014</v>
      </c>
      <c r="E15" s="77" t="s">
        <v>1015</v>
      </c>
      <c r="F15" s="79"/>
      <c r="G15" s="79"/>
      <c r="H15" s="124"/>
      <c r="I15" s="77" t="s">
        <v>1011</v>
      </c>
      <c r="J15" s="80"/>
    </row>
    <row r="16" spans="1:10" ht="26" x14ac:dyDescent="0.2">
      <c r="A16" s="76" t="s">
        <v>1016</v>
      </c>
      <c r="B16" s="77" t="s">
        <v>1017</v>
      </c>
      <c r="C16" s="77" t="s">
        <v>978</v>
      </c>
      <c r="D16" s="77" t="s">
        <v>1018</v>
      </c>
      <c r="E16" s="77" t="s">
        <v>1019</v>
      </c>
      <c r="F16" s="79"/>
      <c r="G16" s="79"/>
      <c r="H16" s="124"/>
      <c r="I16" s="77" t="s">
        <v>1011</v>
      </c>
      <c r="J16" s="80"/>
    </row>
    <row r="17" spans="1:10" ht="20" customHeight="1" x14ac:dyDescent="0.2">
      <c r="A17" s="266" t="s">
        <v>1020</v>
      </c>
      <c r="B17" s="266"/>
      <c r="C17" s="266"/>
      <c r="D17" s="266"/>
      <c r="E17" s="266"/>
      <c r="F17" s="266"/>
      <c r="G17" s="266"/>
      <c r="H17" s="266"/>
      <c r="I17" s="266"/>
      <c r="J17" s="266"/>
    </row>
    <row r="18" spans="1:10" ht="26" x14ac:dyDescent="0.2">
      <c r="A18" s="76" t="s">
        <v>1021</v>
      </c>
      <c r="B18" s="77" t="s">
        <v>1022</v>
      </c>
      <c r="C18" s="77" t="s">
        <v>54</v>
      </c>
      <c r="D18" s="77" t="s">
        <v>1023</v>
      </c>
      <c r="E18" s="77" t="s">
        <v>1024</v>
      </c>
      <c r="F18" s="79"/>
      <c r="G18" s="79"/>
      <c r="H18" s="124"/>
      <c r="I18" s="77" t="s">
        <v>1011</v>
      </c>
      <c r="J18" s="80"/>
    </row>
    <row r="19" spans="1:10" ht="26" x14ac:dyDescent="0.2">
      <c r="A19" s="76" t="s">
        <v>1025</v>
      </c>
      <c r="B19" s="77" t="s">
        <v>1026</v>
      </c>
      <c r="C19" s="77" t="s">
        <v>54</v>
      </c>
      <c r="D19" s="77" t="s">
        <v>1027</v>
      </c>
      <c r="E19" s="77" t="s">
        <v>1028</v>
      </c>
      <c r="F19" s="79"/>
      <c r="G19" s="79"/>
      <c r="H19" s="124"/>
      <c r="I19" s="77" t="s">
        <v>1011</v>
      </c>
      <c r="J19" s="80"/>
    </row>
    <row r="20" spans="1:10" ht="26" x14ac:dyDescent="0.2">
      <c r="A20" s="76" t="s">
        <v>1029</v>
      </c>
      <c r="B20" s="77" t="s">
        <v>1030</v>
      </c>
      <c r="C20" s="77" t="s">
        <v>54</v>
      </c>
      <c r="D20" s="77" t="s">
        <v>1031</v>
      </c>
      <c r="E20" s="77" t="s">
        <v>1032</v>
      </c>
      <c r="F20" s="79"/>
      <c r="G20" s="79"/>
      <c r="H20" s="124"/>
      <c r="I20" s="77" t="s">
        <v>1011</v>
      </c>
      <c r="J20" s="80"/>
    </row>
    <row r="21" spans="1:10" ht="26" x14ac:dyDescent="0.2">
      <c r="A21" s="76" t="s">
        <v>1033</v>
      </c>
      <c r="B21" s="77" t="s">
        <v>1034</v>
      </c>
      <c r="C21" s="77" t="s">
        <v>54</v>
      </c>
      <c r="D21" s="77" t="s">
        <v>1035</v>
      </c>
      <c r="E21" s="77" t="s">
        <v>1036</v>
      </c>
      <c r="F21" s="79"/>
      <c r="G21" s="79"/>
      <c r="H21" s="124"/>
      <c r="I21" s="77" t="s">
        <v>1011</v>
      </c>
      <c r="J21" s="80"/>
    </row>
    <row r="22" spans="1:10" ht="26" x14ac:dyDescent="0.2">
      <c r="A22" s="76" t="s">
        <v>1037</v>
      </c>
      <c r="B22" s="77" t="s">
        <v>1038</v>
      </c>
      <c r="C22" s="77" t="s">
        <v>1039</v>
      </c>
      <c r="D22" s="77" t="s">
        <v>1040</v>
      </c>
      <c r="E22" s="77" t="s">
        <v>1041</v>
      </c>
      <c r="F22" s="79"/>
      <c r="G22" s="79"/>
      <c r="H22" s="124"/>
      <c r="I22" s="77" t="s">
        <v>1042</v>
      </c>
      <c r="J22" s="80"/>
    </row>
    <row r="23" spans="1:10" ht="26" x14ac:dyDescent="0.2">
      <c r="A23" s="76" t="s">
        <v>1043</v>
      </c>
      <c r="B23" s="77" t="s">
        <v>1044</v>
      </c>
      <c r="C23" s="77" t="s">
        <v>1039</v>
      </c>
      <c r="D23" s="77" t="s">
        <v>1045</v>
      </c>
      <c r="E23" s="77" t="s">
        <v>1046</v>
      </c>
      <c r="F23" s="79"/>
      <c r="G23" s="79"/>
      <c r="H23" s="124"/>
      <c r="I23" s="77" t="s">
        <v>1047</v>
      </c>
      <c r="J23" s="80"/>
    </row>
    <row r="24" spans="1:10" x14ac:dyDescent="0.2">
      <c r="A24" s="76" t="s">
        <v>1048</v>
      </c>
      <c r="B24" s="77" t="s">
        <v>1049</v>
      </c>
      <c r="C24" s="77" t="s">
        <v>1039</v>
      </c>
      <c r="D24" s="77" t="s">
        <v>1050</v>
      </c>
      <c r="E24" s="77" t="s">
        <v>1051</v>
      </c>
      <c r="F24" s="79"/>
      <c r="G24" s="79"/>
      <c r="H24" s="124"/>
      <c r="I24" s="77" t="s">
        <v>1052</v>
      </c>
      <c r="J24" s="80"/>
    </row>
    <row r="25" spans="1:10" ht="26" x14ac:dyDescent="0.2">
      <c r="A25" s="76" t="s">
        <v>1053</v>
      </c>
      <c r="B25" s="77" t="s">
        <v>1054</v>
      </c>
      <c r="C25" s="77" t="s">
        <v>54</v>
      </c>
      <c r="D25" s="77" t="s">
        <v>1055</v>
      </c>
      <c r="E25" s="77" t="s">
        <v>1056</v>
      </c>
      <c r="F25" s="79"/>
      <c r="G25" s="79"/>
      <c r="H25" s="124"/>
      <c r="I25" s="77" t="s">
        <v>1057</v>
      </c>
      <c r="J25" s="80"/>
    </row>
    <row r="26" spans="1:10" x14ac:dyDescent="0.2">
      <c r="A26" s="76" t="s">
        <v>1058</v>
      </c>
      <c r="B26" s="77" t="s">
        <v>1059</v>
      </c>
      <c r="C26" s="77" t="s">
        <v>54</v>
      </c>
      <c r="D26" s="77" t="s">
        <v>1060</v>
      </c>
      <c r="E26" s="77" t="s">
        <v>1061</v>
      </c>
      <c r="F26" s="79"/>
      <c r="G26" s="79"/>
      <c r="H26" s="124"/>
      <c r="I26" s="77" t="s">
        <v>1011</v>
      </c>
      <c r="J26" s="80"/>
    </row>
    <row r="27" spans="1:10" ht="26" x14ac:dyDescent="0.2">
      <c r="A27" s="76" t="s">
        <v>1062</v>
      </c>
      <c r="B27" s="77" t="s">
        <v>1063</v>
      </c>
      <c r="C27" s="77" t="s">
        <v>1039</v>
      </c>
      <c r="D27" s="77" t="s">
        <v>1064</v>
      </c>
      <c r="E27" s="77" t="s">
        <v>1065</v>
      </c>
      <c r="F27" s="79"/>
      <c r="G27" s="79"/>
      <c r="H27" s="124"/>
      <c r="I27" s="77" t="s">
        <v>1066</v>
      </c>
      <c r="J27" s="80"/>
    </row>
    <row r="28" spans="1:10" ht="20" customHeight="1" x14ac:dyDescent="0.2">
      <c r="A28" s="266" t="s">
        <v>1067</v>
      </c>
      <c r="B28" s="266"/>
      <c r="C28" s="266"/>
      <c r="D28" s="266"/>
      <c r="E28" s="266"/>
      <c r="F28" s="266"/>
      <c r="G28" s="266"/>
      <c r="H28" s="266"/>
      <c r="I28" s="266"/>
      <c r="J28" s="266"/>
    </row>
    <row r="29" spans="1:10" ht="26" x14ac:dyDescent="0.2">
      <c r="A29" s="76" t="s">
        <v>1068</v>
      </c>
      <c r="B29" s="77" t="s">
        <v>1069</v>
      </c>
      <c r="C29" s="77" t="s">
        <v>54</v>
      </c>
      <c r="D29" s="77" t="s">
        <v>1070</v>
      </c>
      <c r="E29" s="77" t="s">
        <v>1071</v>
      </c>
      <c r="F29" s="79"/>
      <c r="G29" s="79"/>
      <c r="H29" s="124"/>
      <c r="I29" s="77" t="s">
        <v>1072</v>
      </c>
      <c r="J29" s="80"/>
    </row>
    <row r="30" spans="1:10" x14ac:dyDescent="0.2">
      <c r="A30" s="76" t="s">
        <v>1073</v>
      </c>
      <c r="B30" s="77" t="s">
        <v>1074</v>
      </c>
      <c r="C30" s="77" t="s">
        <v>54</v>
      </c>
      <c r="D30" s="77" t="s">
        <v>1075</v>
      </c>
      <c r="E30" s="77" t="s">
        <v>1076</v>
      </c>
      <c r="F30" s="79"/>
      <c r="G30" s="79"/>
      <c r="H30" s="124"/>
      <c r="I30" s="77" t="s">
        <v>1011</v>
      </c>
      <c r="J30" s="80"/>
    </row>
    <row r="31" spans="1:10" x14ac:dyDescent="0.2">
      <c r="A31" s="76" t="s">
        <v>1077</v>
      </c>
      <c r="B31" s="77" t="s">
        <v>1078</v>
      </c>
      <c r="C31" s="77" t="s">
        <v>54</v>
      </c>
      <c r="D31" s="77" t="s">
        <v>1079</v>
      </c>
      <c r="E31" s="77" t="s">
        <v>1080</v>
      </c>
      <c r="F31" s="79"/>
      <c r="G31" s="79"/>
      <c r="H31" s="124"/>
      <c r="I31" s="77" t="s">
        <v>1011</v>
      </c>
      <c r="J31" s="80"/>
    </row>
    <row r="32" spans="1:10" x14ac:dyDescent="0.2">
      <c r="A32" s="76" t="s">
        <v>1081</v>
      </c>
      <c r="B32" s="77" t="s">
        <v>1082</v>
      </c>
      <c r="C32" s="77" t="s">
        <v>54</v>
      </c>
      <c r="D32" s="77" t="s">
        <v>1083</v>
      </c>
      <c r="E32" s="77" t="s">
        <v>1084</v>
      </c>
      <c r="F32" s="79"/>
      <c r="G32" s="79"/>
      <c r="H32" s="124"/>
      <c r="I32" s="77" t="s">
        <v>1011</v>
      </c>
      <c r="J32" s="80"/>
    </row>
    <row r="33" spans="1:10" ht="26" x14ac:dyDescent="0.2">
      <c r="A33" s="76" t="s">
        <v>1085</v>
      </c>
      <c r="B33" s="77" t="s">
        <v>1086</v>
      </c>
      <c r="C33" s="77" t="s">
        <v>1039</v>
      </c>
      <c r="D33" s="77" t="s">
        <v>1087</v>
      </c>
      <c r="E33" s="77" t="s">
        <v>1088</v>
      </c>
      <c r="F33" s="79"/>
      <c r="G33" s="79"/>
      <c r="H33" s="124"/>
      <c r="I33" s="77" t="s">
        <v>1052</v>
      </c>
      <c r="J33" s="80"/>
    </row>
    <row r="34" spans="1:10" x14ac:dyDescent="0.2">
      <c r="A34" s="76" t="s">
        <v>1089</v>
      </c>
      <c r="B34" s="77" t="s">
        <v>1090</v>
      </c>
      <c r="C34" s="77" t="s">
        <v>1039</v>
      </c>
      <c r="D34" s="77" t="s">
        <v>1091</v>
      </c>
      <c r="E34" s="77" t="s">
        <v>1092</v>
      </c>
      <c r="F34" s="79"/>
      <c r="G34" s="79"/>
      <c r="H34" s="124"/>
      <c r="I34" s="77" t="s">
        <v>1011</v>
      </c>
      <c r="J34" s="80"/>
    </row>
    <row r="35" spans="1:10" x14ac:dyDescent="0.2">
      <c r="A35" s="76" t="s">
        <v>1093</v>
      </c>
      <c r="B35" s="77" t="s">
        <v>1094</v>
      </c>
      <c r="C35" s="77" t="s">
        <v>1039</v>
      </c>
      <c r="D35" s="77" t="s">
        <v>1095</v>
      </c>
      <c r="E35" s="77" t="s">
        <v>1096</v>
      </c>
      <c r="F35" s="79"/>
      <c r="G35" s="79"/>
      <c r="H35" s="124"/>
      <c r="I35" s="77" t="s">
        <v>1097</v>
      </c>
      <c r="J35" s="80"/>
    </row>
    <row r="36" spans="1:10" x14ac:dyDescent="0.2">
      <c r="A36" s="76" t="s">
        <v>1098</v>
      </c>
      <c r="B36" s="77" t="s">
        <v>1099</v>
      </c>
      <c r="C36" s="77" t="s">
        <v>54</v>
      </c>
      <c r="D36" s="77" t="s">
        <v>1100</v>
      </c>
      <c r="E36" s="77" t="s">
        <v>1101</v>
      </c>
      <c r="F36" s="79"/>
      <c r="G36" s="79"/>
      <c r="H36" s="124"/>
      <c r="I36" s="77" t="s">
        <v>1011</v>
      </c>
      <c r="J36" s="80"/>
    </row>
    <row r="37" spans="1:10" ht="20" customHeight="1" x14ac:dyDescent="0.2">
      <c r="A37" s="266" t="s">
        <v>1102</v>
      </c>
      <c r="B37" s="266"/>
      <c r="C37" s="266"/>
      <c r="D37" s="266"/>
      <c r="E37" s="266"/>
      <c r="F37" s="266"/>
      <c r="G37" s="266"/>
      <c r="H37" s="266"/>
      <c r="I37" s="266"/>
      <c r="J37" s="266"/>
    </row>
    <row r="38" spans="1:10" ht="26" x14ac:dyDescent="0.2">
      <c r="A38" s="76" t="s">
        <v>1103</v>
      </c>
      <c r="B38" s="77" t="s">
        <v>1104</v>
      </c>
      <c r="C38" s="77" t="s">
        <v>54</v>
      </c>
      <c r="D38" s="77" t="s">
        <v>1105</v>
      </c>
      <c r="E38" s="77" t="s">
        <v>1084</v>
      </c>
      <c r="F38" s="79"/>
      <c r="G38" s="79"/>
      <c r="H38" s="124"/>
      <c r="I38" s="77" t="s">
        <v>1011</v>
      </c>
      <c r="J38" s="80"/>
    </row>
    <row r="39" spans="1:10" x14ac:dyDescent="0.2">
      <c r="A39" s="76" t="s">
        <v>1106</v>
      </c>
      <c r="B39" s="77" t="s">
        <v>1107</v>
      </c>
      <c r="C39" s="77" t="s">
        <v>54</v>
      </c>
      <c r="D39" s="77" t="s">
        <v>1108</v>
      </c>
      <c r="E39" s="77" t="s">
        <v>1084</v>
      </c>
      <c r="F39" s="79"/>
      <c r="G39" s="79"/>
      <c r="H39" s="124"/>
      <c r="I39" s="77" t="s">
        <v>1011</v>
      </c>
      <c r="J39" s="80"/>
    </row>
    <row r="40" spans="1:10" ht="26" x14ac:dyDescent="0.2">
      <c r="A40" s="76" t="s">
        <v>1109</v>
      </c>
      <c r="B40" s="77" t="s">
        <v>1110</v>
      </c>
      <c r="C40" s="77" t="s">
        <v>1039</v>
      </c>
      <c r="D40" s="77" t="s">
        <v>1111</v>
      </c>
      <c r="E40" s="77" t="s">
        <v>1112</v>
      </c>
      <c r="F40" s="79"/>
      <c r="G40" s="79"/>
      <c r="H40" s="124"/>
      <c r="I40" s="77" t="s">
        <v>1113</v>
      </c>
      <c r="J40" s="80"/>
    </row>
    <row r="41" spans="1:10" x14ac:dyDescent="0.2">
      <c r="A41" s="76" t="s">
        <v>1114</v>
      </c>
      <c r="B41" s="77" t="s">
        <v>1115</v>
      </c>
      <c r="C41" s="77" t="s">
        <v>1039</v>
      </c>
      <c r="D41" s="77" t="s">
        <v>1116</v>
      </c>
      <c r="E41" s="77" t="s">
        <v>1117</v>
      </c>
      <c r="F41" s="79"/>
      <c r="G41" s="79"/>
      <c r="H41" s="124"/>
      <c r="I41" s="77" t="s">
        <v>1118</v>
      </c>
      <c r="J41" s="80"/>
    </row>
    <row r="42" spans="1:10" x14ac:dyDescent="0.2">
      <c r="A42" s="76" t="s">
        <v>1119</v>
      </c>
      <c r="B42" s="77" t="s">
        <v>1120</v>
      </c>
      <c r="C42" s="77" t="s">
        <v>54</v>
      </c>
      <c r="D42" s="77" t="s">
        <v>1031</v>
      </c>
      <c r="E42" s="77" t="s">
        <v>1121</v>
      </c>
      <c r="F42" s="79"/>
      <c r="G42" s="79"/>
      <c r="H42" s="124"/>
      <c r="I42" s="77" t="s">
        <v>1011</v>
      </c>
      <c r="J42" s="80"/>
    </row>
    <row r="43" spans="1:10" x14ac:dyDescent="0.2">
      <c r="A43" s="76" t="s">
        <v>1122</v>
      </c>
      <c r="B43" s="77" t="s">
        <v>1123</v>
      </c>
      <c r="C43" s="77" t="s">
        <v>54</v>
      </c>
      <c r="D43" s="77" t="s">
        <v>1031</v>
      </c>
      <c r="E43" s="77" t="s">
        <v>1124</v>
      </c>
      <c r="F43" s="79"/>
      <c r="G43" s="79"/>
      <c r="H43" s="124"/>
      <c r="I43" s="77" t="s">
        <v>1011</v>
      </c>
      <c r="J43" s="80"/>
    </row>
    <row r="44" spans="1:10" x14ac:dyDescent="0.2">
      <c r="A44" s="76" t="s">
        <v>1125</v>
      </c>
      <c r="B44" s="77" t="s">
        <v>1126</v>
      </c>
      <c r="C44" s="77" t="s">
        <v>54</v>
      </c>
      <c r="D44" s="77" t="s">
        <v>1127</v>
      </c>
      <c r="E44" s="77" t="s">
        <v>1084</v>
      </c>
      <c r="F44" s="79"/>
      <c r="G44" s="79"/>
      <c r="H44" s="124"/>
      <c r="I44" s="77" t="s">
        <v>1128</v>
      </c>
      <c r="J44" s="80"/>
    </row>
    <row r="45" spans="1:10" x14ac:dyDescent="0.2">
      <c r="A45" s="76" t="s">
        <v>1129</v>
      </c>
      <c r="B45" s="77" t="s">
        <v>1130</v>
      </c>
      <c r="C45" s="77" t="s">
        <v>54</v>
      </c>
      <c r="D45" s="77" t="s">
        <v>1131</v>
      </c>
      <c r="E45" s="77" t="s">
        <v>1101</v>
      </c>
      <c r="F45" s="79"/>
      <c r="G45" s="79"/>
      <c r="H45" s="124"/>
      <c r="I45" s="77" t="s">
        <v>1011</v>
      </c>
      <c r="J45" s="80"/>
    </row>
    <row r="46" spans="1:10" ht="20" customHeight="1" x14ac:dyDescent="0.2">
      <c r="A46" s="266" t="s">
        <v>1132</v>
      </c>
      <c r="B46" s="266"/>
      <c r="C46" s="266"/>
      <c r="D46" s="266"/>
      <c r="E46" s="266"/>
      <c r="F46" s="266"/>
      <c r="G46" s="266"/>
      <c r="H46" s="266"/>
      <c r="I46" s="266"/>
      <c r="J46" s="266"/>
    </row>
    <row r="47" spans="1:10" ht="26" x14ac:dyDescent="0.2">
      <c r="A47" s="76" t="s">
        <v>1133</v>
      </c>
      <c r="B47" s="77" t="s">
        <v>1134</v>
      </c>
      <c r="C47" s="77" t="s">
        <v>54</v>
      </c>
      <c r="D47" s="77" t="s">
        <v>1135</v>
      </c>
      <c r="E47" s="77" t="s">
        <v>1136</v>
      </c>
      <c r="F47" s="79"/>
      <c r="G47" s="79"/>
      <c r="H47" s="124"/>
      <c r="I47" s="77" t="s">
        <v>1137</v>
      </c>
      <c r="J47" s="80"/>
    </row>
    <row r="48" spans="1:10" x14ac:dyDescent="0.2">
      <c r="A48" s="76" t="s">
        <v>1138</v>
      </c>
      <c r="B48" s="77" t="s">
        <v>1139</v>
      </c>
      <c r="C48" s="77" t="s">
        <v>54</v>
      </c>
      <c r="D48" s="77" t="s">
        <v>1140</v>
      </c>
      <c r="E48" s="77" t="s">
        <v>1141</v>
      </c>
      <c r="F48" s="79"/>
      <c r="G48" s="79"/>
      <c r="H48" s="124"/>
      <c r="I48" s="77" t="s">
        <v>1142</v>
      </c>
      <c r="J48" s="80"/>
    </row>
    <row r="49" spans="1:10" ht="26" x14ac:dyDescent="0.2">
      <c r="A49" s="76" t="s">
        <v>1143</v>
      </c>
      <c r="B49" s="77" t="s">
        <v>1144</v>
      </c>
      <c r="C49" s="77" t="s">
        <v>1039</v>
      </c>
      <c r="D49" s="77" t="s">
        <v>1145</v>
      </c>
      <c r="E49" s="77" t="s">
        <v>1146</v>
      </c>
      <c r="F49" s="79"/>
      <c r="G49" s="79"/>
      <c r="H49" s="124"/>
      <c r="I49" s="77" t="s">
        <v>1011</v>
      </c>
      <c r="J49" s="80"/>
    </row>
    <row r="50" spans="1:10" x14ac:dyDescent="0.2">
      <c r="A50" s="76" t="s">
        <v>1147</v>
      </c>
      <c r="B50" s="77" t="s">
        <v>1148</v>
      </c>
      <c r="C50" s="77" t="s">
        <v>54</v>
      </c>
      <c r="D50" s="77" t="s">
        <v>1031</v>
      </c>
      <c r="E50" s="77" t="s">
        <v>1149</v>
      </c>
      <c r="F50" s="79"/>
      <c r="G50" s="79"/>
      <c r="H50" s="124"/>
      <c r="I50" s="77" t="s">
        <v>1011</v>
      </c>
      <c r="J50" s="80"/>
    </row>
    <row r="51" spans="1:10" ht="20" customHeight="1" x14ac:dyDescent="0.2">
      <c r="A51" s="266" t="s">
        <v>1150</v>
      </c>
      <c r="B51" s="266"/>
      <c r="C51" s="266"/>
      <c r="D51" s="266"/>
      <c r="E51" s="266"/>
      <c r="F51" s="266"/>
      <c r="G51" s="266"/>
      <c r="H51" s="266"/>
      <c r="I51" s="266"/>
      <c r="J51" s="266"/>
    </row>
    <row r="52" spans="1:10" x14ac:dyDescent="0.2">
      <c r="A52" s="76" t="s">
        <v>1151</v>
      </c>
      <c r="B52" s="77" t="s">
        <v>1152</v>
      </c>
      <c r="C52" s="77" t="s">
        <v>54</v>
      </c>
      <c r="D52" s="77" t="s">
        <v>1153</v>
      </c>
      <c r="E52" s="77" t="s">
        <v>1080</v>
      </c>
      <c r="F52" s="79"/>
      <c r="G52" s="79"/>
      <c r="H52" s="124"/>
      <c r="I52" s="77" t="s">
        <v>1011</v>
      </c>
      <c r="J52" s="80"/>
    </row>
    <row r="53" spans="1:10" x14ac:dyDescent="0.2">
      <c r="A53" s="76" t="s">
        <v>1154</v>
      </c>
      <c r="B53" s="77" t="s">
        <v>1155</v>
      </c>
      <c r="C53" s="77" t="s">
        <v>54</v>
      </c>
      <c r="D53" s="77" t="s">
        <v>1156</v>
      </c>
      <c r="E53" s="77" t="s">
        <v>1080</v>
      </c>
      <c r="F53" s="79"/>
      <c r="G53" s="79"/>
      <c r="H53" s="124"/>
      <c r="I53" s="77" t="s">
        <v>1011</v>
      </c>
      <c r="J53" s="80"/>
    </row>
    <row r="54" spans="1:10" x14ac:dyDescent="0.2">
      <c r="A54" s="76" t="s">
        <v>1157</v>
      </c>
      <c r="B54" s="77" t="s">
        <v>1158</v>
      </c>
      <c r="C54" s="77" t="s">
        <v>1039</v>
      </c>
      <c r="D54" s="77" t="s">
        <v>1159</v>
      </c>
      <c r="E54" s="77" t="s">
        <v>1160</v>
      </c>
      <c r="F54" s="79"/>
      <c r="G54" s="79"/>
      <c r="H54" s="124"/>
      <c r="I54" s="77" t="s">
        <v>1011</v>
      </c>
      <c r="J54" s="80"/>
    </row>
    <row r="55" spans="1:10" ht="26" x14ac:dyDescent="0.2">
      <c r="A55" s="76" t="s">
        <v>1161</v>
      </c>
      <c r="B55" s="77" t="s">
        <v>1162</v>
      </c>
      <c r="C55" s="77" t="s">
        <v>1039</v>
      </c>
      <c r="D55" s="77" t="s">
        <v>1163</v>
      </c>
      <c r="E55" s="77" t="s">
        <v>1164</v>
      </c>
      <c r="F55" s="79"/>
      <c r="G55" s="79"/>
      <c r="H55" s="124"/>
      <c r="I55" s="77" t="s">
        <v>1066</v>
      </c>
      <c r="J55" s="80"/>
    </row>
    <row r="56" spans="1:10" x14ac:dyDescent="0.2">
      <c r="A56" s="76" t="s">
        <v>1165</v>
      </c>
      <c r="B56" s="77" t="s">
        <v>1166</v>
      </c>
      <c r="C56" s="77" t="s">
        <v>978</v>
      </c>
      <c r="D56" s="77" t="s">
        <v>1167</v>
      </c>
      <c r="E56" s="77" t="s">
        <v>1168</v>
      </c>
      <c r="F56" s="79"/>
      <c r="G56" s="79"/>
      <c r="H56" s="124"/>
      <c r="I56" s="77" t="s">
        <v>1011</v>
      </c>
      <c r="J56" s="80"/>
    </row>
    <row r="57" spans="1:10" x14ac:dyDescent="0.2">
      <c r="A57" s="76" t="s">
        <v>1169</v>
      </c>
      <c r="B57" s="77" t="s">
        <v>1170</v>
      </c>
      <c r="C57" s="77" t="s">
        <v>720</v>
      </c>
      <c r="D57" s="77" t="s">
        <v>1171</v>
      </c>
      <c r="E57" s="77" t="s">
        <v>1172</v>
      </c>
      <c r="F57" s="79"/>
      <c r="G57" s="79"/>
      <c r="H57" s="124"/>
      <c r="I57" s="77" t="s">
        <v>1173</v>
      </c>
      <c r="J57" s="80"/>
    </row>
    <row r="58" spans="1:10" ht="20" customHeight="1" x14ac:dyDescent="0.2">
      <c r="A58" s="266" t="s">
        <v>1174</v>
      </c>
      <c r="B58" s="266"/>
      <c r="C58" s="266"/>
      <c r="D58" s="266"/>
      <c r="E58" s="266"/>
      <c r="F58" s="266"/>
      <c r="G58" s="266"/>
      <c r="H58" s="266"/>
      <c r="I58" s="266"/>
      <c r="J58" s="266"/>
    </row>
    <row r="59" spans="1:10" ht="26" x14ac:dyDescent="0.2">
      <c r="A59" s="76" t="s">
        <v>1175</v>
      </c>
      <c r="B59" s="77" t="s">
        <v>1176</v>
      </c>
      <c r="C59" s="77" t="s">
        <v>1039</v>
      </c>
      <c r="D59" s="77" t="s">
        <v>1177</v>
      </c>
      <c r="E59" s="77" t="s">
        <v>1178</v>
      </c>
      <c r="F59" s="79"/>
      <c r="G59" s="79"/>
      <c r="H59" s="124"/>
      <c r="I59" s="77" t="s">
        <v>1179</v>
      </c>
      <c r="J59" s="80"/>
    </row>
    <row r="60" spans="1:10" x14ac:dyDescent="0.2">
      <c r="A60" s="76" t="s">
        <v>1180</v>
      </c>
      <c r="B60" s="77" t="s">
        <v>1181</v>
      </c>
      <c r="C60" s="77" t="s">
        <v>720</v>
      </c>
      <c r="D60" s="77" t="s">
        <v>1182</v>
      </c>
      <c r="E60" s="77" t="s">
        <v>1183</v>
      </c>
      <c r="F60" s="79"/>
      <c r="G60" s="79"/>
      <c r="H60" s="124"/>
      <c r="I60" s="77" t="s">
        <v>1184</v>
      </c>
      <c r="J60" s="80"/>
    </row>
    <row r="61" spans="1:10" x14ac:dyDescent="0.2">
      <c r="A61" s="76" t="s">
        <v>1185</v>
      </c>
      <c r="B61" s="77" t="s">
        <v>1186</v>
      </c>
      <c r="C61" s="77" t="s">
        <v>1039</v>
      </c>
      <c r="D61" s="77" t="s">
        <v>1187</v>
      </c>
      <c r="E61" s="77" t="s">
        <v>1188</v>
      </c>
      <c r="F61" s="79"/>
      <c r="G61" s="79"/>
      <c r="H61" s="124"/>
      <c r="I61" s="77" t="s">
        <v>1011</v>
      </c>
      <c r="J61" s="80"/>
    </row>
    <row r="62" spans="1:10" ht="26" x14ac:dyDescent="0.2">
      <c r="A62" s="76" t="s">
        <v>1189</v>
      </c>
      <c r="B62" s="77" t="s">
        <v>1190</v>
      </c>
      <c r="C62" s="77" t="s">
        <v>720</v>
      </c>
      <c r="D62" s="77" t="s">
        <v>1191</v>
      </c>
      <c r="E62" s="77" t="s">
        <v>1192</v>
      </c>
      <c r="F62" s="79"/>
      <c r="G62" s="79"/>
      <c r="H62" s="124"/>
      <c r="I62" s="77" t="s">
        <v>1193</v>
      </c>
      <c r="J62" s="80"/>
    </row>
    <row r="63" spans="1:10" x14ac:dyDescent="0.2">
      <c r="A63" s="76" t="s">
        <v>1194</v>
      </c>
      <c r="B63" s="77" t="s">
        <v>1195</v>
      </c>
      <c r="C63" s="77" t="s">
        <v>54</v>
      </c>
      <c r="D63" s="77" t="s">
        <v>1196</v>
      </c>
      <c r="E63" s="77" t="s">
        <v>1080</v>
      </c>
      <c r="F63" s="79"/>
      <c r="G63" s="79"/>
      <c r="H63" s="124"/>
      <c r="I63" s="77" t="s">
        <v>1197</v>
      </c>
      <c r="J63" s="80"/>
    </row>
    <row r="64" spans="1:10" ht="26" x14ac:dyDescent="0.2">
      <c r="A64" s="76" t="s">
        <v>1198</v>
      </c>
      <c r="B64" s="77" t="s">
        <v>1199</v>
      </c>
      <c r="C64" s="77" t="s">
        <v>720</v>
      </c>
      <c r="D64" s="77" t="s">
        <v>1200</v>
      </c>
      <c r="E64" s="77" t="s">
        <v>1201</v>
      </c>
      <c r="F64" s="79"/>
      <c r="G64" s="79"/>
      <c r="H64" s="124"/>
      <c r="I64" s="77" t="s">
        <v>1197</v>
      </c>
      <c r="J64" s="80"/>
    </row>
    <row r="65" spans="1:10" ht="26" x14ac:dyDescent="0.2">
      <c r="A65" s="76" t="s">
        <v>1202</v>
      </c>
      <c r="B65" s="77" t="s">
        <v>1203</v>
      </c>
      <c r="C65" s="77" t="s">
        <v>720</v>
      </c>
      <c r="D65" s="77" t="s">
        <v>1204</v>
      </c>
      <c r="E65" s="77" t="s">
        <v>1205</v>
      </c>
      <c r="F65" s="79"/>
      <c r="G65" s="79"/>
      <c r="H65" s="124"/>
      <c r="I65" s="77" t="s">
        <v>1197</v>
      </c>
      <c r="J65" s="80"/>
    </row>
    <row r="66" spans="1:10" x14ac:dyDescent="0.2">
      <c r="A66" s="76" t="s">
        <v>1206</v>
      </c>
      <c r="B66" s="77" t="s">
        <v>1207</v>
      </c>
      <c r="C66" s="77" t="s">
        <v>720</v>
      </c>
      <c r="D66" s="77" t="s">
        <v>1208</v>
      </c>
      <c r="E66" s="77" t="s">
        <v>1209</v>
      </c>
      <c r="F66" s="79"/>
      <c r="G66" s="79"/>
      <c r="H66" s="124"/>
      <c r="I66" s="77" t="s">
        <v>1210</v>
      </c>
      <c r="J66" s="80"/>
    </row>
    <row r="67" spans="1:10" x14ac:dyDescent="0.2">
      <c r="A67" s="76" t="s">
        <v>1211</v>
      </c>
      <c r="B67" s="77" t="s">
        <v>1212</v>
      </c>
      <c r="C67" s="77" t="s">
        <v>720</v>
      </c>
      <c r="D67" s="77" t="s">
        <v>1213</v>
      </c>
      <c r="E67" s="77" t="s">
        <v>1214</v>
      </c>
      <c r="F67" s="79"/>
      <c r="G67" s="79"/>
      <c r="H67" s="124"/>
      <c r="I67" s="77" t="s">
        <v>1215</v>
      </c>
      <c r="J67" s="80"/>
    </row>
    <row r="68" spans="1:10" x14ac:dyDescent="0.2">
      <c r="A68" s="76" t="s">
        <v>1216</v>
      </c>
      <c r="B68" s="77" t="s">
        <v>1217</v>
      </c>
      <c r="C68" s="77" t="s">
        <v>1039</v>
      </c>
      <c r="D68" s="77" t="s">
        <v>1218</v>
      </c>
      <c r="E68" s="77" t="s">
        <v>1219</v>
      </c>
      <c r="F68" s="79"/>
      <c r="G68" s="79"/>
      <c r="H68" s="124"/>
      <c r="I68" s="77" t="s">
        <v>1011</v>
      </c>
      <c r="J68" s="80"/>
    </row>
    <row r="69" spans="1:10" x14ac:dyDescent="0.2">
      <c r="A69" s="76" t="s">
        <v>1220</v>
      </c>
      <c r="B69" s="77" t="s">
        <v>1221</v>
      </c>
      <c r="C69" s="77" t="s">
        <v>720</v>
      </c>
      <c r="D69" s="77" t="s">
        <v>1222</v>
      </c>
      <c r="E69" s="77" t="s">
        <v>1219</v>
      </c>
      <c r="F69" s="79"/>
      <c r="G69" s="79"/>
      <c r="H69" s="124"/>
      <c r="I69" s="77" t="s">
        <v>1001</v>
      </c>
      <c r="J69" s="80"/>
    </row>
    <row r="70" spans="1:10" ht="20" customHeight="1" x14ac:dyDescent="0.2">
      <c r="A70" s="266" t="s">
        <v>1223</v>
      </c>
      <c r="B70" s="266"/>
      <c r="C70" s="266"/>
      <c r="D70" s="266"/>
      <c r="E70" s="266"/>
      <c r="F70" s="266"/>
      <c r="G70" s="266"/>
      <c r="H70" s="266"/>
      <c r="I70" s="266"/>
      <c r="J70" s="266"/>
    </row>
    <row r="71" spans="1:10" ht="26" x14ac:dyDescent="0.2">
      <c r="A71" s="76" t="s">
        <v>1224</v>
      </c>
      <c r="B71" s="77" t="s">
        <v>1225</v>
      </c>
      <c r="C71" s="77" t="s">
        <v>720</v>
      </c>
      <c r="D71" s="77" t="s">
        <v>1226</v>
      </c>
      <c r="E71" s="77" t="s">
        <v>1227</v>
      </c>
      <c r="F71" s="79"/>
      <c r="G71" s="79"/>
      <c r="H71" s="124"/>
      <c r="I71" s="77" t="s">
        <v>1228</v>
      </c>
      <c r="J71" s="80"/>
    </row>
    <row r="72" spans="1:10" ht="26" x14ac:dyDescent="0.2">
      <c r="A72" s="76" t="s">
        <v>1229</v>
      </c>
      <c r="B72" s="77" t="s">
        <v>1230</v>
      </c>
      <c r="C72" s="77" t="s">
        <v>720</v>
      </c>
      <c r="D72" s="77" t="s">
        <v>1231</v>
      </c>
      <c r="E72" s="77" t="s">
        <v>1232</v>
      </c>
      <c r="F72" s="79"/>
      <c r="G72" s="79"/>
      <c r="H72" s="124"/>
      <c r="I72" s="77" t="s">
        <v>1233</v>
      </c>
      <c r="J72" s="80"/>
    </row>
    <row r="73" spans="1:10" x14ac:dyDescent="0.2">
      <c r="A73" s="76" t="s">
        <v>1234</v>
      </c>
      <c r="B73" s="77" t="s">
        <v>1235</v>
      </c>
      <c r="C73" s="77" t="s">
        <v>720</v>
      </c>
      <c r="D73" s="77" t="s">
        <v>1236</v>
      </c>
      <c r="E73" s="77" t="s">
        <v>1237</v>
      </c>
      <c r="F73" s="79"/>
      <c r="G73" s="79"/>
      <c r="H73" s="124"/>
      <c r="I73" s="77" t="s">
        <v>1238</v>
      </c>
      <c r="J73" s="80"/>
    </row>
    <row r="74" spans="1:10" ht="26" x14ac:dyDescent="0.2">
      <c r="A74" s="76" t="s">
        <v>1239</v>
      </c>
      <c r="B74" s="77" t="s">
        <v>1240</v>
      </c>
      <c r="C74" s="77" t="s">
        <v>720</v>
      </c>
      <c r="D74" s="77" t="s">
        <v>1241</v>
      </c>
      <c r="E74" s="77" t="s">
        <v>1242</v>
      </c>
      <c r="F74" s="79"/>
      <c r="G74" s="79"/>
      <c r="H74" s="124"/>
      <c r="I74" s="77" t="s">
        <v>1243</v>
      </c>
      <c r="J74" s="80"/>
    </row>
    <row r="75" spans="1:10" ht="26" x14ac:dyDescent="0.2">
      <c r="A75" s="76" t="s">
        <v>1244</v>
      </c>
      <c r="B75" s="77" t="s">
        <v>1245</v>
      </c>
      <c r="C75" s="77" t="s">
        <v>1039</v>
      </c>
      <c r="D75" s="77" t="s">
        <v>1246</v>
      </c>
      <c r="E75" s="77" t="s">
        <v>1247</v>
      </c>
      <c r="F75" s="79"/>
      <c r="G75" s="79"/>
      <c r="H75" s="124"/>
      <c r="I75" s="77" t="s">
        <v>1248</v>
      </c>
      <c r="J75" s="80"/>
    </row>
    <row r="76" spans="1:10" x14ac:dyDescent="0.2">
      <c r="A76" s="76" t="s">
        <v>1249</v>
      </c>
      <c r="B76" s="77" t="s">
        <v>1250</v>
      </c>
      <c r="C76" s="77" t="s">
        <v>720</v>
      </c>
      <c r="D76" s="77" t="s">
        <v>1251</v>
      </c>
      <c r="E76" s="77" t="s">
        <v>1252</v>
      </c>
      <c r="F76" s="79"/>
      <c r="G76" s="79"/>
      <c r="H76" s="124"/>
      <c r="I76" s="77" t="s">
        <v>1253</v>
      </c>
      <c r="J76" s="80"/>
    </row>
    <row r="77" spans="1:10" ht="26" x14ac:dyDescent="0.2">
      <c r="A77" s="76" t="s">
        <v>1254</v>
      </c>
      <c r="B77" s="77" t="s">
        <v>1255</v>
      </c>
      <c r="C77" s="77" t="s">
        <v>1039</v>
      </c>
      <c r="D77" s="77" t="s">
        <v>1256</v>
      </c>
      <c r="E77" s="77" t="s">
        <v>1257</v>
      </c>
      <c r="F77" s="79"/>
      <c r="G77" s="79"/>
      <c r="H77" s="124"/>
      <c r="I77" s="77" t="s">
        <v>1258</v>
      </c>
      <c r="J77" s="80"/>
    </row>
    <row r="78" spans="1:10" ht="26" x14ac:dyDescent="0.2">
      <c r="A78" s="76" t="s">
        <v>1259</v>
      </c>
      <c r="B78" s="77" t="s">
        <v>1260</v>
      </c>
      <c r="C78" s="77" t="s">
        <v>720</v>
      </c>
      <c r="D78" s="77" t="s">
        <v>1261</v>
      </c>
      <c r="E78" s="77" t="s">
        <v>1262</v>
      </c>
      <c r="F78" s="79"/>
      <c r="G78" s="79"/>
      <c r="H78" s="124"/>
      <c r="I78" s="77" t="s">
        <v>1258</v>
      </c>
      <c r="J78" s="80"/>
    </row>
    <row r="79" spans="1:10" x14ac:dyDescent="0.2">
      <c r="A79" s="266" t="s">
        <v>1263</v>
      </c>
      <c r="B79" s="266"/>
      <c r="C79" s="266"/>
      <c r="D79" s="266"/>
      <c r="E79" s="266"/>
      <c r="F79" s="266"/>
      <c r="G79" s="266"/>
      <c r="H79" s="266"/>
      <c r="I79" s="266"/>
      <c r="J79" s="266"/>
    </row>
    <row r="80" spans="1:10" x14ac:dyDescent="0.2">
      <c r="A80" s="76" t="s">
        <v>1264</v>
      </c>
      <c r="B80" s="77" t="s">
        <v>1265</v>
      </c>
      <c r="C80" s="77" t="s">
        <v>54</v>
      </c>
      <c r="D80" s="77" t="s">
        <v>1266</v>
      </c>
      <c r="E80" s="77" t="s">
        <v>1267</v>
      </c>
      <c r="F80" s="79"/>
      <c r="G80" s="79"/>
      <c r="H80" s="124"/>
      <c r="I80" s="77" t="s">
        <v>1268</v>
      </c>
      <c r="J80" s="80"/>
    </row>
    <row r="81" spans="1:10" ht="26" x14ac:dyDescent="0.2">
      <c r="A81" s="76" t="s">
        <v>1269</v>
      </c>
      <c r="B81" s="77" t="s">
        <v>1270</v>
      </c>
      <c r="C81" s="77" t="s">
        <v>54</v>
      </c>
      <c r="D81" s="77" t="s">
        <v>1271</v>
      </c>
      <c r="E81" s="77" t="s">
        <v>1272</v>
      </c>
      <c r="F81" s="79"/>
      <c r="G81" s="79"/>
      <c r="H81" s="124"/>
      <c r="I81" s="77" t="s">
        <v>1273</v>
      </c>
      <c r="J81" s="80"/>
    </row>
    <row r="82" spans="1:10" x14ac:dyDescent="0.2">
      <c r="A82" s="76" t="s">
        <v>1274</v>
      </c>
      <c r="B82" s="77" t="s">
        <v>1275</v>
      </c>
      <c r="C82" s="77" t="s">
        <v>54</v>
      </c>
      <c r="D82" s="77" t="s">
        <v>1276</v>
      </c>
      <c r="E82" s="77" t="s">
        <v>1209</v>
      </c>
      <c r="F82" s="79"/>
      <c r="G82" s="79"/>
      <c r="H82" s="124"/>
      <c r="I82" s="77" t="s">
        <v>1277</v>
      </c>
      <c r="J82" s="80"/>
    </row>
    <row r="83" spans="1:10" x14ac:dyDescent="0.2">
      <c r="A83" s="76" t="s">
        <v>1278</v>
      </c>
      <c r="B83" s="77" t="s">
        <v>1279</v>
      </c>
      <c r="C83" s="77" t="s">
        <v>1039</v>
      </c>
      <c r="D83" s="77" t="s">
        <v>1280</v>
      </c>
      <c r="E83" s="77" t="s">
        <v>1281</v>
      </c>
      <c r="F83" s="79"/>
      <c r="G83" s="79"/>
      <c r="H83" s="124"/>
      <c r="I83" s="77" t="s">
        <v>1282</v>
      </c>
      <c r="J83" s="80"/>
    </row>
    <row r="84" spans="1:10" x14ac:dyDescent="0.2">
      <c r="A84" s="76" t="s">
        <v>1283</v>
      </c>
      <c r="B84" s="77" t="s">
        <v>1284</v>
      </c>
      <c r="C84" s="77" t="s">
        <v>1039</v>
      </c>
      <c r="D84" s="77" t="s">
        <v>1285</v>
      </c>
      <c r="E84" s="77" t="s">
        <v>1286</v>
      </c>
      <c r="F84" s="79"/>
      <c r="G84" s="79"/>
      <c r="H84" s="124"/>
      <c r="I84" s="77" t="s">
        <v>1287</v>
      </c>
      <c r="J84" s="80"/>
    </row>
    <row r="85" spans="1:10" x14ac:dyDescent="0.2">
      <c r="A85" s="76" t="s">
        <v>1288</v>
      </c>
      <c r="B85" s="77" t="s">
        <v>1289</v>
      </c>
      <c r="C85" s="77" t="s">
        <v>1039</v>
      </c>
      <c r="D85" s="77" t="s">
        <v>1290</v>
      </c>
      <c r="E85" s="77" t="s">
        <v>1291</v>
      </c>
      <c r="F85" s="79"/>
      <c r="G85" s="79"/>
      <c r="H85" s="124"/>
      <c r="I85" s="77" t="s">
        <v>1011</v>
      </c>
      <c r="J85" s="80"/>
    </row>
    <row r="86" spans="1:10" x14ac:dyDescent="0.2">
      <c r="A86" s="76" t="s">
        <v>1292</v>
      </c>
      <c r="B86" s="77" t="s">
        <v>1293</v>
      </c>
      <c r="C86" s="77" t="s">
        <v>54</v>
      </c>
      <c r="D86" s="77" t="s">
        <v>1294</v>
      </c>
      <c r="E86" s="77" t="s">
        <v>1080</v>
      </c>
      <c r="F86" s="79"/>
      <c r="G86" s="79"/>
      <c r="H86" s="124"/>
      <c r="I86" s="77" t="s">
        <v>1295</v>
      </c>
      <c r="J86" s="80"/>
    </row>
    <row r="87" spans="1:10" ht="26" x14ac:dyDescent="0.2">
      <c r="A87" s="76" t="s">
        <v>1296</v>
      </c>
      <c r="B87" s="77" t="s">
        <v>1297</v>
      </c>
      <c r="C87" s="77" t="s">
        <v>54</v>
      </c>
      <c r="D87" s="77" t="s">
        <v>1298</v>
      </c>
      <c r="E87" s="77" t="s">
        <v>1299</v>
      </c>
      <c r="F87" s="79"/>
      <c r="G87" s="79"/>
      <c r="H87" s="124"/>
      <c r="I87" s="77" t="s">
        <v>1011</v>
      </c>
      <c r="J87" s="80"/>
    </row>
    <row r="88" spans="1:10" x14ac:dyDescent="0.2">
      <c r="A88" s="266" t="s">
        <v>1300</v>
      </c>
      <c r="B88" s="266"/>
      <c r="C88" s="266"/>
      <c r="D88" s="266"/>
      <c r="E88" s="266"/>
      <c r="F88" s="266"/>
      <c r="G88" s="266"/>
      <c r="H88" s="266"/>
      <c r="I88" s="266"/>
      <c r="J88" s="266"/>
    </row>
    <row r="89" spans="1:10" x14ac:dyDescent="0.2">
      <c r="A89" s="76" t="s">
        <v>1301</v>
      </c>
      <c r="B89" s="77" t="s">
        <v>1302</v>
      </c>
      <c r="C89" s="77" t="s">
        <v>720</v>
      </c>
      <c r="D89" s="77" t="s">
        <v>1303</v>
      </c>
      <c r="E89" s="77" t="s">
        <v>1304</v>
      </c>
      <c r="F89" s="79"/>
      <c r="G89" s="79"/>
      <c r="H89" s="124"/>
      <c r="I89" s="77" t="s">
        <v>1305</v>
      </c>
      <c r="J89" s="80"/>
    </row>
    <row r="90" spans="1:10" x14ac:dyDescent="0.2">
      <c r="A90" s="76" t="s">
        <v>1306</v>
      </c>
      <c r="B90" s="77" t="s">
        <v>1307</v>
      </c>
      <c r="C90" s="77" t="s">
        <v>720</v>
      </c>
      <c r="D90" s="77" t="s">
        <v>1308</v>
      </c>
      <c r="E90" s="77" t="s">
        <v>1309</v>
      </c>
      <c r="F90" s="79"/>
      <c r="G90" s="79"/>
      <c r="H90" s="124"/>
      <c r="I90" s="77" t="s">
        <v>1305</v>
      </c>
      <c r="J90" s="80"/>
    </row>
    <row r="91" spans="1:10" ht="26" x14ac:dyDescent="0.2">
      <c r="A91" s="76" t="s">
        <v>1310</v>
      </c>
      <c r="B91" s="77" t="s">
        <v>1311</v>
      </c>
      <c r="C91" s="77" t="s">
        <v>1039</v>
      </c>
      <c r="D91" s="77" t="s">
        <v>1312</v>
      </c>
      <c r="E91" s="77" t="s">
        <v>1313</v>
      </c>
      <c r="F91" s="79"/>
      <c r="G91" s="79"/>
      <c r="H91" s="124"/>
      <c r="I91" s="77" t="s">
        <v>1305</v>
      </c>
      <c r="J91" s="80"/>
    </row>
    <row r="92" spans="1:10" ht="26" x14ac:dyDescent="0.2">
      <c r="A92" s="76" t="s">
        <v>1314</v>
      </c>
      <c r="B92" s="77" t="s">
        <v>1315</v>
      </c>
      <c r="C92" s="77" t="s">
        <v>720</v>
      </c>
      <c r="D92" s="77" t="s">
        <v>1316</v>
      </c>
      <c r="E92" s="77" t="s">
        <v>1219</v>
      </c>
      <c r="F92" s="79"/>
      <c r="G92" s="79"/>
      <c r="H92" s="124"/>
      <c r="I92" s="77" t="s">
        <v>1317</v>
      </c>
      <c r="J92" s="80"/>
    </row>
    <row r="93" spans="1:10" ht="26" x14ac:dyDescent="0.2">
      <c r="A93" s="76" t="s">
        <v>1318</v>
      </c>
      <c r="B93" s="77" t="s">
        <v>1319</v>
      </c>
      <c r="C93" s="77" t="s">
        <v>1039</v>
      </c>
      <c r="D93" s="77" t="s">
        <v>1320</v>
      </c>
      <c r="E93" s="77" t="s">
        <v>1321</v>
      </c>
      <c r="F93" s="79"/>
      <c r="G93" s="79"/>
      <c r="H93" s="124"/>
      <c r="I93" s="77" t="s">
        <v>1322</v>
      </c>
      <c r="J93" s="80"/>
    </row>
    <row r="94" spans="1:10" x14ac:dyDescent="0.2">
      <c r="A94" s="266" t="s">
        <v>1323</v>
      </c>
      <c r="B94" s="266"/>
      <c r="C94" s="266"/>
      <c r="D94" s="266"/>
      <c r="E94" s="266"/>
      <c r="F94" s="266"/>
      <c r="G94" s="266"/>
      <c r="H94" s="266"/>
      <c r="I94" s="266"/>
      <c r="J94" s="266"/>
    </row>
    <row r="95" spans="1:10" ht="26" x14ac:dyDescent="0.2">
      <c r="A95" s="76" t="s">
        <v>1324</v>
      </c>
      <c r="B95" s="77" t="s">
        <v>1325</v>
      </c>
      <c r="C95" s="77" t="s">
        <v>720</v>
      </c>
      <c r="D95" s="77" t="s">
        <v>1326</v>
      </c>
      <c r="E95" s="77" t="s">
        <v>1205</v>
      </c>
      <c r="F95" s="79"/>
      <c r="G95" s="79"/>
      <c r="H95" s="124"/>
      <c r="I95" s="77" t="s">
        <v>1001</v>
      </c>
      <c r="J95" s="80"/>
    </row>
    <row r="96" spans="1:10" ht="26" x14ac:dyDescent="0.2">
      <c r="A96" s="76" t="s">
        <v>1327</v>
      </c>
      <c r="B96" s="77" t="s">
        <v>1328</v>
      </c>
      <c r="C96" s="77" t="s">
        <v>720</v>
      </c>
      <c r="D96" s="77" t="s">
        <v>1329</v>
      </c>
      <c r="E96" s="77" t="s">
        <v>1330</v>
      </c>
      <c r="F96" s="79"/>
      <c r="G96" s="79"/>
      <c r="H96" s="124"/>
      <c r="I96" s="77" t="s">
        <v>1001</v>
      </c>
      <c r="J96" s="80"/>
    </row>
    <row r="97" spans="1:10" ht="26" x14ac:dyDescent="0.2">
      <c r="A97" s="76" t="s">
        <v>1331</v>
      </c>
      <c r="B97" s="77" t="s">
        <v>1332</v>
      </c>
      <c r="C97" s="77" t="s">
        <v>720</v>
      </c>
      <c r="D97" s="77" t="s">
        <v>1333</v>
      </c>
      <c r="E97" s="77" t="s">
        <v>1334</v>
      </c>
      <c r="F97" s="79"/>
      <c r="G97" s="79"/>
      <c r="H97" s="124"/>
      <c r="I97" s="77" t="s">
        <v>1001</v>
      </c>
      <c r="J97" s="80"/>
    </row>
    <row r="98" spans="1:10" x14ac:dyDescent="0.2">
      <c r="A98" s="76" t="s">
        <v>1335</v>
      </c>
      <c r="B98" s="77" t="s">
        <v>1336</v>
      </c>
      <c r="C98" s="77" t="s">
        <v>1039</v>
      </c>
      <c r="D98" s="77" t="s">
        <v>1337</v>
      </c>
      <c r="E98" s="77" t="s">
        <v>1338</v>
      </c>
      <c r="F98" s="79"/>
      <c r="G98" s="79"/>
      <c r="H98" s="124"/>
      <c r="I98" s="77" t="s">
        <v>1001</v>
      </c>
      <c r="J98" s="80"/>
    </row>
    <row r="99" spans="1:10" x14ac:dyDescent="0.2">
      <c r="A99" s="76" t="s">
        <v>1339</v>
      </c>
      <c r="B99" s="77" t="s">
        <v>1340</v>
      </c>
      <c r="C99" s="77" t="s">
        <v>720</v>
      </c>
      <c r="D99" s="77" t="s">
        <v>1316</v>
      </c>
      <c r="E99" s="77" t="s">
        <v>1219</v>
      </c>
      <c r="F99" s="79"/>
      <c r="G99" s="79"/>
      <c r="H99" s="124"/>
      <c r="I99" s="77" t="s">
        <v>1001</v>
      </c>
      <c r="J99" s="80"/>
    </row>
    <row r="100" spans="1:10" x14ac:dyDescent="0.2">
      <c r="A100" s="76" t="s">
        <v>1341</v>
      </c>
      <c r="B100" s="77" t="s">
        <v>1342</v>
      </c>
      <c r="C100" s="77" t="s">
        <v>1039</v>
      </c>
      <c r="D100" s="77" t="s">
        <v>1343</v>
      </c>
      <c r="E100" s="77" t="s">
        <v>1344</v>
      </c>
      <c r="F100" s="79"/>
      <c r="G100" s="79"/>
      <c r="H100" s="124"/>
      <c r="I100" s="77" t="s">
        <v>1305</v>
      </c>
      <c r="J100" s="80"/>
    </row>
    <row r="101" spans="1:10" ht="26" x14ac:dyDescent="0.2">
      <c r="A101" s="76" t="s">
        <v>1345</v>
      </c>
      <c r="B101" s="77" t="s">
        <v>1346</v>
      </c>
      <c r="C101" s="77" t="s">
        <v>720</v>
      </c>
      <c r="D101" s="77" t="s">
        <v>1316</v>
      </c>
      <c r="E101" s="77" t="s">
        <v>1219</v>
      </c>
      <c r="F101" s="79"/>
      <c r="G101" s="79"/>
      <c r="H101" s="124"/>
      <c r="I101" s="77" t="s">
        <v>1347</v>
      </c>
      <c r="J101" s="80"/>
    </row>
    <row r="102" spans="1:10" ht="26" x14ac:dyDescent="0.2">
      <c r="A102" s="76" t="s">
        <v>1348</v>
      </c>
      <c r="B102" s="77" t="s">
        <v>1349</v>
      </c>
      <c r="C102" s="77" t="s">
        <v>720</v>
      </c>
      <c r="D102" s="77" t="s">
        <v>1350</v>
      </c>
      <c r="E102" s="77" t="s">
        <v>1351</v>
      </c>
      <c r="F102" s="79"/>
      <c r="G102" s="79"/>
      <c r="H102" s="124"/>
      <c r="I102" s="77" t="s">
        <v>1352</v>
      </c>
      <c r="J102" s="80"/>
    </row>
    <row r="103" spans="1:10" ht="26" x14ac:dyDescent="0.2">
      <c r="A103" s="76" t="s">
        <v>1353</v>
      </c>
      <c r="B103" s="77" t="s">
        <v>1354</v>
      </c>
      <c r="C103" s="77" t="s">
        <v>54</v>
      </c>
      <c r="D103" s="77" t="s">
        <v>1355</v>
      </c>
      <c r="E103" s="77" t="s">
        <v>1356</v>
      </c>
      <c r="F103" s="79"/>
      <c r="G103" s="79"/>
      <c r="H103" s="124"/>
      <c r="I103" s="77" t="s">
        <v>1001</v>
      </c>
      <c r="J103" s="80"/>
    </row>
    <row r="104" spans="1:10" x14ac:dyDescent="0.2">
      <c r="A104" s="76" t="s">
        <v>1357</v>
      </c>
      <c r="B104" s="77" t="s">
        <v>1358</v>
      </c>
      <c r="C104" s="77" t="s">
        <v>720</v>
      </c>
      <c r="D104" s="77" t="s">
        <v>1359</v>
      </c>
      <c r="E104" s="77" t="s">
        <v>1360</v>
      </c>
      <c r="F104" s="79"/>
      <c r="G104" s="79"/>
      <c r="H104" s="124"/>
      <c r="I104" s="77" t="s">
        <v>1001</v>
      </c>
      <c r="J104" s="80"/>
    </row>
    <row r="105" spans="1:10" ht="26" x14ac:dyDescent="0.2">
      <c r="A105" s="76" t="s">
        <v>1361</v>
      </c>
      <c r="B105" s="77" t="s">
        <v>1362</v>
      </c>
      <c r="C105" s="77" t="s">
        <v>720</v>
      </c>
      <c r="D105" s="77" t="s">
        <v>1363</v>
      </c>
      <c r="E105" s="77" t="s">
        <v>1364</v>
      </c>
      <c r="F105" s="79"/>
      <c r="G105" s="79"/>
      <c r="H105" s="124"/>
      <c r="I105" s="77" t="s">
        <v>1001</v>
      </c>
      <c r="J105" s="80"/>
    </row>
    <row r="106" spans="1:10" ht="26" x14ac:dyDescent="0.2">
      <c r="A106" s="76" t="s">
        <v>1365</v>
      </c>
      <c r="B106" s="77" t="s">
        <v>1366</v>
      </c>
      <c r="C106" s="77" t="s">
        <v>720</v>
      </c>
      <c r="D106" s="77" t="s">
        <v>1367</v>
      </c>
      <c r="E106" s="77" t="s">
        <v>1368</v>
      </c>
      <c r="F106" s="79"/>
      <c r="G106" s="79"/>
      <c r="H106" s="124"/>
      <c r="I106" s="77" t="s">
        <v>1001</v>
      </c>
      <c r="J106" s="80"/>
    </row>
    <row r="107" spans="1:10" x14ac:dyDescent="0.2">
      <c r="A107" s="76" t="s">
        <v>1369</v>
      </c>
      <c r="B107" s="77" t="s">
        <v>1370</v>
      </c>
      <c r="C107" s="77" t="s">
        <v>720</v>
      </c>
      <c r="D107" s="77" t="s">
        <v>1371</v>
      </c>
      <c r="E107" s="77" t="s">
        <v>1330</v>
      </c>
      <c r="F107" s="79"/>
      <c r="G107" s="79"/>
      <c r="H107" s="124"/>
      <c r="I107" s="77" t="s">
        <v>1001</v>
      </c>
      <c r="J107" s="80"/>
    </row>
    <row r="108" spans="1:10" x14ac:dyDescent="0.2">
      <c r="A108" s="76" t="s">
        <v>1372</v>
      </c>
      <c r="B108" s="77" t="s">
        <v>1373</v>
      </c>
      <c r="C108" s="77" t="s">
        <v>720</v>
      </c>
      <c r="D108" s="77" t="s">
        <v>1374</v>
      </c>
      <c r="E108" s="77" t="s">
        <v>1375</v>
      </c>
      <c r="F108" s="79"/>
      <c r="G108" s="79"/>
      <c r="H108" s="124"/>
      <c r="I108" s="77" t="s">
        <v>1001</v>
      </c>
      <c r="J108" s="80"/>
    </row>
    <row r="109" spans="1:10" x14ac:dyDescent="0.2">
      <c r="A109" s="266" t="s">
        <v>1376</v>
      </c>
      <c r="B109" s="266"/>
      <c r="C109" s="266"/>
      <c r="D109" s="266"/>
      <c r="E109" s="266"/>
      <c r="F109" s="266"/>
      <c r="G109" s="266"/>
      <c r="H109" s="266"/>
      <c r="I109" s="266"/>
      <c r="J109" s="266"/>
    </row>
    <row r="110" spans="1:10" x14ac:dyDescent="0.2">
      <c r="A110" s="76" t="s">
        <v>1377</v>
      </c>
      <c r="B110" s="77" t="s">
        <v>1378</v>
      </c>
      <c r="C110" s="77" t="s">
        <v>54</v>
      </c>
      <c r="D110" s="77" t="s">
        <v>1379</v>
      </c>
      <c r="E110" s="77" t="s">
        <v>1380</v>
      </c>
      <c r="F110" s="79"/>
      <c r="G110" s="79"/>
      <c r="H110" s="124"/>
      <c r="I110" s="77" t="s">
        <v>1011</v>
      </c>
      <c r="J110" s="80"/>
    </row>
    <row r="111" spans="1:10" x14ac:dyDescent="0.2">
      <c r="A111" s="76" t="s">
        <v>1381</v>
      </c>
      <c r="B111" s="77" t="s">
        <v>1382</v>
      </c>
      <c r="C111" s="77" t="s">
        <v>54</v>
      </c>
      <c r="D111" s="77" t="s">
        <v>1031</v>
      </c>
      <c r="E111" s="77" t="s">
        <v>1383</v>
      </c>
      <c r="F111" s="79"/>
      <c r="G111" s="79"/>
      <c r="H111" s="124"/>
      <c r="I111" s="77" t="s">
        <v>1011</v>
      </c>
      <c r="J111" s="80"/>
    </row>
    <row r="112" spans="1:10" x14ac:dyDescent="0.2">
      <c r="A112" s="76" t="s">
        <v>1384</v>
      </c>
      <c r="B112" s="77" t="s">
        <v>1385</v>
      </c>
      <c r="C112" s="77" t="s">
        <v>54</v>
      </c>
      <c r="D112" s="77" t="s">
        <v>1031</v>
      </c>
      <c r="E112" s="77" t="s">
        <v>1386</v>
      </c>
      <c r="F112" s="79"/>
      <c r="G112" s="79"/>
      <c r="H112" s="124"/>
      <c r="I112" s="77" t="s">
        <v>1001</v>
      </c>
      <c r="J112" s="80"/>
    </row>
    <row r="113" spans="1:10" ht="26" x14ac:dyDescent="0.2">
      <c r="A113" s="76" t="s">
        <v>1387</v>
      </c>
      <c r="B113" s="77" t="s">
        <v>1388</v>
      </c>
      <c r="C113" s="77" t="s">
        <v>720</v>
      </c>
      <c r="D113" s="77" t="s">
        <v>1389</v>
      </c>
      <c r="E113" s="77" t="s">
        <v>1390</v>
      </c>
      <c r="F113" s="79"/>
      <c r="G113" s="79"/>
      <c r="H113" s="124"/>
      <c r="I113" s="77" t="s">
        <v>1391</v>
      </c>
      <c r="J113" s="80"/>
    </row>
    <row r="114" spans="1:10" x14ac:dyDescent="0.2">
      <c r="A114" s="266" t="s">
        <v>1392</v>
      </c>
      <c r="B114" s="266"/>
      <c r="C114" s="266"/>
      <c r="D114" s="266"/>
      <c r="E114" s="266"/>
      <c r="F114" s="266"/>
      <c r="G114" s="266"/>
      <c r="H114" s="266"/>
      <c r="I114" s="266"/>
      <c r="J114" s="266"/>
    </row>
    <row r="115" spans="1:10" x14ac:dyDescent="0.2">
      <c r="A115" s="76" t="s">
        <v>1393</v>
      </c>
      <c r="B115" s="77" t="s">
        <v>1394</v>
      </c>
      <c r="C115" s="77" t="s">
        <v>54</v>
      </c>
      <c r="D115" s="77" t="s">
        <v>1395</v>
      </c>
      <c r="E115" s="77" t="s">
        <v>1396</v>
      </c>
      <c r="F115" s="79"/>
      <c r="G115" s="79"/>
      <c r="H115" s="124"/>
      <c r="I115" s="77" t="s">
        <v>1011</v>
      </c>
      <c r="J115" s="80"/>
    </row>
    <row r="116" spans="1:10" ht="26" x14ac:dyDescent="0.2">
      <c r="A116" s="76" t="s">
        <v>1397</v>
      </c>
      <c r="B116" s="77" t="s">
        <v>1398</v>
      </c>
      <c r="C116" s="77" t="s">
        <v>720</v>
      </c>
      <c r="D116" s="77" t="s">
        <v>1399</v>
      </c>
      <c r="E116" s="77" t="s">
        <v>823</v>
      </c>
      <c r="F116" s="79"/>
      <c r="G116" s="79"/>
      <c r="H116" s="124"/>
      <c r="I116" s="77" t="s">
        <v>1400</v>
      </c>
      <c r="J116" s="80"/>
    </row>
    <row r="117" spans="1:10" ht="26" x14ac:dyDescent="0.2">
      <c r="A117" s="76" t="s">
        <v>1401</v>
      </c>
      <c r="B117" s="77" t="s">
        <v>1402</v>
      </c>
      <c r="C117" s="77" t="s">
        <v>1039</v>
      </c>
      <c r="D117" s="77" t="s">
        <v>1403</v>
      </c>
      <c r="E117" s="77" t="s">
        <v>1404</v>
      </c>
      <c r="F117" s="79"/>
      <c r="G117" s="79"/>
      <c r="H117" s="124"/>
      <c r="I117" s="77" t="s">
        <v>1405</v>
      </c>
      <c r="J117" s="80"/>
    </row>
    <row r="118" spans="1:10" x14ac:dyDescent="0.2">
      <c r="A118" s="76" t="s">
        <v>1406</v>
      </c>
      <c r="B118" s="77" t="s">
        <v>1407</v>
      </c>
      <c r="C118" s="77" t="s">
        <v>978</v>
      </c>
      <c r="D118" s="77" t="s">
        <v>1408</v>
      </c>
      <c r="E118" s="77" t="s">
        <v>1409</v>
      </c>
      <c r="F118" s="79"/>
      <c r="G118" s="79"/>
      <c r="H118" s="124"/>
      <c r="I118" s="77" t="s">
        <v>1410</v>
      </c>
      <c r="J118" s="80"/>
    </row>
    <row r="119" spans="1:10" x14ac:dyDescent="0.2">
      <c r="A119" s="76" t="s">
        <v>1411</v>
      </c>
      <c r="B119" s="77" t="s">
        <v>1412</v>
      </c>
      <c r="C119" s="77" t="s">
        <v>978</v>
      </c>
      <c r="D119" s="77" t="s">
        <v>1413</v>
      </c>
      <c r="E119" s="77" t="s">
        <v>1414</v>
      </c>
      <c r="F119" s="79"/>
      <c r="G119" s="79"/>
      <c r="H119" s="124"/>
      <c r="I119" s="77" t="s">
        <v>1001</v>
      </c>
      <c r="J119" s="80"/>
    </row>
    <row r="120" spans="1:10" x14ac:dyDescent="0.2">
      <c r="A120" s="81" t="s">
        <v>1415</v>
      </c>
      <c r="B120" s="82" t="s">
        <v>1416</v>
      </c>
      <c r="C120" s="82" t="s">
        <v>720</v>
      </c>
      <c r="D120" s="82" t="s">
        <v>1374</v>
      </c>
      <c r="E120" s="82" t="s">
        <v>1417</v>
      </c>
      <c r="F120" s="84"/>
      <c r="G120" s="84"/>
      <c r="H120" s="125"/>
      <c r="I120" s="82" t="s">
        <v>1410</v>
      </c>
      <c r="J120" s="85"/>
    </row>
  </sheetData>
  <mergeCells count="15">
    <mergeCell ref="A37:J37"/>
    <mergeCell ref="A1:J1"/>
    <mergeCell ref="A2:J2"/>
    <mergeCell ref="A7:J7"/>
    <mergeCell ref="A17:J17"/>
    <mergeCell ref="A28:J28"/>
    <mergeCell ref="A94:J94"/>
    <mergeCell ref="A109:J109"/>
    <mergeCell ref="A114:J114"/>
    <mergeCell ref="A46:J46"/>
    <mergeCell ref="A51:J51"/>
    <mergeCell ref="A58:J58"/>
    <mergeCell ref="A70:J70"/>
    <mergeCell ref="A79:J79"/>
    <mergeCell ref="A88:J88"/>
  </mergeCells>
  <conditionalFormatting sqref="C8:C16 C18:C27 C29:C36 C38:C45 C47:C50 C52:C57 C59:C69 C71:C78 C80:C87 C89:C93 C95:C108 C110:C113 C115:C120">
    <cfRule type="containsText" dxfId="127" priority="5" operator="containsText" text="Affect Build">
      <formula>NOT(ISERROR(SEARCH("Affect Build",C8)))</formula>
    </cfRule>
  </conditionalFormatting>
  <conditionalFormatting sqref="F8:F16 F18:F27 F29:F36 F38:F45 F47:F50 F52:F57 F59:F69 F71:F78 F80:F87 F89:F93 F95:F108 F110:F113 F115:F120">
    <cfRule type="containsText" dxfId="126" priority="1" operator="containsText" text="Verified">
      <formula>NOT(ISERROR(SEARCH("Verified",F8)))</formula>
    </cfRule>
    <cfRule type="containsText" dxfId="125" priority="2" operator="containsText" text="Query Raised">
      <formula>NOT(ISERROR(SEARCH("Query Raised",F8)))</formula>
    </cfRule>
    <cfRule type="containsText" dxfId="124" priority="3" operator="containsText" text="In Progress">
      <formula>NOT(ISERROR(SEARCH("In Progress",F8)))</formula>
    </cfRule>
    <cfRule type="containsText" dxfId="123" priority="4" operator="containsText" text="Open">
      <formula>NOT(ISERROR(SEARCH("Open",F8)))</formula>
    </cfRule>
  </conditionalFormatting>
  <conditionalFormatting sqref="I8:I16 I18:I27 I29:I36 I38:I45 I47:I50 I52:I57 I59:I69 I71:I78 I80:I87 I89:I93 I95:I108 I110:I113 I115:I120">
    <cfRule type="containsText" dxfId="122" priority="6" operator="containsText" text="VERIFY">
      <formula>NOT(ISERROR(SEARCH("VERIFY",I8)))</formula>
    </cfRule>
  </conditionalFormatting>
  <dataValidations count="2">
    <dataValidation type="list" allowBlank="1" showInputMessage="1" showErrorMessage="1" sqref="C8:C16 C18:C27 C29:C36 C38:C45 C47:C50 C52:C57 C59:C69 C71:C78 C80:C87 C89:C93 C95:C108 C110:C113 C115:C120" xr:uid="{F8C720A6-A6CF-FD49-8DDF-DDD62A39D560}">
      <formula1>"Affect Build,Owner's Separate Trades,Shared — AB / Owner's Vendor,Owner / DOH Consultant"</formula1>
    </dataValidation>
    <dataValidation type="list" allowBlank="1" showInputMessage="1" showErrorMessage="1" sqref="F8:F16 F18:F27 F29:F36 F38:F45 F47:F50 F52:F57 F59:F69 F71:F78 F80:F87 F89:F93 F95:F108 F110:F113 F115:F120" xr:uid="{B015AC83-8BE9-E548-8EC0-B09EC3F76ACE}">
      <formula1>"Open,In Progress,Verified,Not Applicable,N/A,Query Raised"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4556D-5ED6-4145-AE8C-4C5F23C50B64}">
  <dimension ref="A1:O40"/>
  <sheetViews>
    <sheetView workbookViewId="0">
      <pane ySplit="6" topLeftCell="A7" activePane="bottomLeft" state="frozen"/>
      <selection pane="bottomLeft" sqref="A1:O1"/>
    </sheetView>
  </sheetViews>
  <sheetFormatPr baseColWidth="10" defaultColWidth="11" defaultRowHeight="16" x14ac:dyDescent="0.2"/>
  <cols>
    <col min="1" max="1" width="8" style="3" customWidth="1"/>
    <col min="2" max="2" width="50" style="3" customWidth="1"/>
    <col min="3" max="3" width="25" style="3" customWidth="1"/>
    <col min="4" max="4" width="16.6640625" style="3" customWidth="1"/>
    <col min="5" max="5" width="18.33203125" style="3" customWidth="1"/>
    <col min="6" max="7" width="13.6640625" style="3" customWidth="1"/>
    <col min="8" max="8" width="20" style="3" customWidth="1"/>
    <col min="9" max="9" width="13.33203125" style="3" customWidth="1"/>
    <col min="10" max="10" width="13.6640625" style="3" customWidth="1"/>
    <col min="11" max="11" width="35" style="3" customWidth="1"/>
    <col min="12" max="12" width="13.6640625" style="3" customWidth="1"/>
    <col min="13" max="13" width="14.6640625" style="3" customWidth="1"/>
    <col min="14" max="14" width="13" style="3" customWidth="1"/>
    <col min="15" max="15" width="28.33203125" style="3" customWidth="1"/>
  </cols>
  <sheetData>
    <row r="1" spans="1:15" ht="26" customHeight="1" x14ac:dyDescent="0.2">
      <c r="A1" s="249" t="s">
        <v>1418</v>
      </c>
      <c r="B1" s="249"/>
      <c r="C1" s="249"/>
      <c r="D1" s="249"/>
      <c r="E1" s="249"/>
      <c r="F1" s="249"/>
      <c r="G1" s="249"/>
      <c r="H1" s="249"/>
      <c r="I1" s="249"/>
      <c r="J1" s="249"/>
      <c r="K1" s="249"/>
      <c r="L1" s="249"/>
      <c r="M1" s="249"/>
      <c r="N1" s="249"/>
      <c r="O1" s="249"/>
    </row>
    <row r="2" spans="1:15" ht="32" customHeight="1" x14ac:dyDescent="0.2">
      <c r="A2" s="257" t="s">
        <v>1419</v>
      </c>
      <c r="B2" s="257"/>
      <c r="C2" s="257"/>
      <c r="D2" s="257"/>
      <c r="E2" s="257"/>
      <c r="F2" s="257"/>
      <c r="G2" s="257"/>
      <c r="H2" s="257"/>
      <c r="I2" s="257"/>
      <c r="J2" s="257"/>
      <c r="K2" s="257"/>
      <c r="L2" s="257"/>
      <c r="M2" s="257"/>
      <c r="N2" s="257"/>
      <c r="O2" s="257"/>
    </row>
    <row r="3" spans="1:15" x14ac:dyDescent="0.2">
      <c r="A3" s="4"/>
      <c r="B3" s="4"/>
      <c r="C3" s="4"/>
      <c r="D3" s="4"/>
      <c r="E3" s="4"/>
      <c r="F3" s="4"/>
      <c r="G3" s="4"/>
      <c r="H3" s="4"/>
      <c r="I3" s="4"/>
      <c r="J3" s="4"/>
      <c r="K3" s="4"/>
      <c r="L3" s="4"/>
      <c r="M3" s="4"/>
      <c r="N3" s="4"/>
      <c r="O3" s="4"/>
    </row>
    <row r="4" spans="1:15" ht="22" customHeight="1" x14ac:dyDescent="0.2">
      <c r="A4" s="110" t="s">
        <v>128</v>
      </c>
      <c r="B4" s="126">
        <f>COUNTA($A$7:$A$60)</f>
        <v>24</v>
      </c>
      <c r="C4" s="110" t="s">
        <v>1420</v>
      </c>
      <c r="D4" s="126">
        <f>COUNTIF($I$7:$I$60,"Pass")</f>
        <v>0</v>
      </c>
      <c r="E4" s="110" t="s">
        <v>1421</v>
      </c>
      <c r="F4" s="126">
        <f>COUNTIF($I$7:$I$60,"Fail")+COUNTIF($I$7:$I$60,"Re-inspect")</f>
        <v>0</v>
      </c>
      <c r="G4" s="110" t="s">
        <v>689</v>
      </c>
      <c r="H4" s="126">
        <f>$B$4-COUNTIF($M$7:$M$60,"Closed")</f>
        <v>24</v>
      </c>
      <c r="I4" s="110" t="s">
        <v>1422</v>
      </c>
      <c r="J4" s="110"/>
      <c r="K4" s="126">
        <f>COUNTA($K$7:$K$60)</f>
        <v>0</v>
      </c>
      <c r="L4" s="4"/>
      <c r="M4" s="4"/>
      <c r="N4" s="4"/>
      <c r="O4" s="4"/>
    </row>
    <row r="5" spans="1:15" x14ac:dyDescent="0.2">
      <c r="A5" s="4"/>
      <c r="B5" s="4"/>
      <c r="C5" s="4"/>
      <c r="D5" s="4"/>
      <c r="E5" s="4"/>
      <c r="F5" s="4"/>
      <c r="G5" s="4"/>
      <c r="H5" s="4"/>
      <c r="I5" s="4"/>
      <c r="J5" s="4"/>
      <c r="K5" s="4"/>
      <c r="L5" s="4"/>
      <c r="M5" s="4"/>
      <c r="N5" s="4"/>
      <c r="O5" s="4"/>
    </row>
    <row r="6" spans="1:15" ht="42" customHeight="1" x14ac:dyDescent="0.2">
      <c r="A6" s="48" t="s">
        <v>968</v>
      </c>
      <c r="B6" s="48" t="s">
        <v>1423</v>
      </c>
      <c r="C6" s="48" t="s">
        <v>1424</v>
      </c>
      <c r="D6" s="48" t="s">
        <v>1425</v>
      </c>
      <c r="E6" s="48" t="s">
        <v>1426</v>
      </c>
      <c r="F6" s="48" t="s">
        <v>1427</v>
      </c>
      <c r="G6" s="48" t="s">
        <v>1428</v>
      </c>
      <c r="H6" s="48" t="s">
        <v>1429</v>
      </c>
      <c r="I6" s="48" t="s">
        <v>446</v>
      </c>
      <c r="J6" s="48" t="s">
        <v>1430</v>
      </c>
      <c r="K6" s="48" t="s">
        <v>1431</v>
      </c>
      <c r="L6" s="48" t="s">
        <v>1432</v>
      </c>
      <c r="M6" s="48" t="s">
        <v>448</v>
      </c>
      <c r="N6" s="48" t="s">
        <v>1433</v>
      </c>
      <c r="O6" s="48" t="s">
        <v>299</v>
      </c>
    </row>
    <row r="7" spans="1:15" x14ac:dyDescent="0.2">
      <c r="A7" s="114" t="s">
        <v>1434</v>
      </c>
      <c r="B7" s="115" t="s">
        <v>1435</v>
      </c>
      <c r="C7" s="115" t="s">
        <v>706</v>
      </c>
      <c r="D7" s="115" t="s">
        <v>1436</v>
      </c>
      <c r="E7" s="128"/>
      <c r="F7" s="116"/>
      <c r="G7" s="116"/>
      <c r="H7" s="117"/>
      <c r="I7" s="117"/>
      <c r="J7" s="116"/>
      <c r="K7" s="128"/>
      <c r="L7" s="116"/>
      <c r="M7" s="129" t="s">
        <v>1437</v>
      </c>
      <c r="N7" s="115" t="s">
        <v>703</v>
      </c>
      <c r="O7" s="118"/>
    </row>
    <row r="8" spans="1:15" x14ac:dyDescent="0.2">
      <c r="A8" s="32" t="s">
        <v>1438</v>
      </c>
      <c r="B8" s="36" t="s">
        <v>1439</v>
      </c>
      <c r="C8" s="36" t="s">
        <v>781</v>
      </c>
      <c r="D8" s="36" t="s">
        <v>224</v>
      </c>
      <c r="E8" s="130"/>
      <c r="F8" s="105"/>
      <c r="G8" s="105"/>
      <c r="H8" s="106"/>
      <c r="I8" s="106"/>
      <c r="J8" s="105"/>
      <c r="K8" s="130"/>
      <c r="L8" s="105"/>
      <c r="M8" s="131" t="s">
        <v>1437</v>
      </c>
      <c r="N8" s="36" t="s">
        <v>779</v>
      </c>
      <c r="O8" s="28"/>
    </row>
    <row r="9" spans="1:15" x14ac:dyDescent="0.2">
      <c r="A9" s="32" t="s">
        <v>1440</v>
      </c>
      <c r="B9" s="36" t="s">
        <v>1441</v>
      </c>
      <c r="C9" s="36" t="s">
        <v>781</v>
      </c>
      <c r="D9" s="36" t="s">
        <v>224</v>
      </c>
      <c r="E9" s="130"/>
      <c r="F9" s="105"/>
      <c r="G9" s="105"/>
      <c r="H9" s="106"/>
      <c r="I9" s="106"/>
      <c r="J9" s="105"/>
      <c r="K9" s="130"/>
      <c r="L9" s="105"/>
      <c r="M9" s="131" t="s">
        <v>1437</v>
      </c>
      <c r="N9" s="36" t="s">
        <v>783</v>
      </c>
      <c r="O9" s="28"/>
    </row>
    <row r="10" spans="1:15" x14ac:dyDescent="0.2">
      <c r="A10" s="32" t="s">
        <v>1442</v>
      </c>
      <c r="B10" s="36" t="s">
        <v>1443</v>
      </c>
      <c r="C10" s="36" t="s">
        <v>789</v>
      </c>
      <c r="D10" s="36" t="s">
        <v>224</v>
      </c>
      <c r="E10" s="130"/>
      <c r="F10" s="105"/>
      <c r="G10" s="105"/>
      <c r="H10" s="106"/>
      <c r="I10" s="106"/>
      <c r="J10" s="105"/>
      <c r="K10" s="130"/>
      <c r="L10" s="105"/>
      <c r="M10" s="131" t="s">
        <v>1437</v>
      </c>
      <c r="N10" s="36" t="s">
        <v>786</v>
      </c>
      <c r="O10" s="28"/>
    </row>
    <row r="11" spans="1:15" x14ac:dyDescent="0.2">
      <c r="A11" s="32" t="s">
        <v>1444</v>
      </c>
      <c r="B11" s="36" t="s">
        <v>1445</v>
      </c>
      <c r="C11" s="36" t="s">
        <v>332</v>
      </c>
      <c r="D11" s="36" t="s">
        <v>226</v>
      </c>
      <c r="E11" s="130"/>
      <c r="F11" s="105"/>
      <c r="G11" s="105"/>
      <c r="H11" s="106"/>
      <c r="I11" s="106"/>
      <c r="J11" s="105"/>
      <c r="K11" s="130"/>
      <c r="L11" s="105"/>
      <c r="M11" s="131" t="s">
        <v>1437</v>
      </c>
      <c r="N11" s="36" t="s">
        <v>791</v>
      </c>
      <c r="O11" s="28"/>
    </row>
    <row r="12" spans="1:15" x14ac:dyDescent="0.2">
      <c r="A12" s="32" t="s">
        <v>1446</v>
      </c>
      <c r="B12" s="36" t="s">
        <v>1447</v>
      </c>
      <c r="C12" s="36" t="s">
        <v>332</v>
      </c>
      <c r="D12" s="36" t="s">
        <v>1448</v>
      </c>
      <c r="E12" s="130"/>
      <c r="F12" s="105"/>
      <c r="G12" s="105"/>
      <c r="H12" s="106"/>
      <c r="I12" s="106"/>
      <c r="J12" s="105"/>
      <c r="K12" s="130"/>
      <c r="L12" s="105"/>
      <c r="M12" s="131" t="s">
        <v>1437</v>
      </c>
      <c r="N12" s="36" t="s">
        <v>794</v>
      </c>
      <c r="O12" s="28"/>
    </row>
    <row r="13" spans="1:15" x14ac:dyDescent="0.2">
      <c r="A13" s="32" t="s">
        <v>1449</v>
      </c>
      <c r="B13" s="36" t="s">
        <v>800</v>
      </c>
      <c r="C13" s="36" t="s">
        <v>799</v>
      </c>
      <c r="D13" s="36" t="s">
        <v>1448</v>
      </c>
      <c r="E13" s="130"/>
      <c r="F13" s="105"/>
      <c r="G13" s="105"/>
      <c r="H13" s="106"/>
      <c r="I13" s="106"/>
      <c r="J13" s="105"/>
      <c r="K13" s="130"/>
      <c r="L13" s="105"/>
      <c r="M13" s="131" t="s">
        <v>1437</v>
      </c>
      <c r="N13" s="36" t="s">
        <v>797</v>
      </c>
      <c r="O13" s="28"/>
    </row>
    <row r="14" spans="1:15" x14ac:dyDescent="0.2">
      <c r="A14" s="32" t="s">
        <v>1450</v>
      </c>
      <c r="B14" s="36" t="s">
        <v>1451</v>
      </c>
      <c r="C14" s="36" t="s">
        <v>803</v>
      </c>
      <c r="D14" s="36" t="s">
        <v>226</v>
      </c>
      <c r="E14" s="130"/>
      <c r="F14" s="105"/>
      <c r="G14" s="105"/>
      <c r="H14" s="106"/>
      <c r="I14" s="106"/>
      <c r="J14" s="105"/>
      <c r="K14" s="130"/>
      <c r="L14" s="105"/>
      <c r="M14" s="131" t="s">
        <v>1437</v>
      </c>
      <c r="N14" s="36" t="s">
        <v>801</v>
      </c>
      <c r="O14" s="28"/>
    </row>
    <row r="15" spans="1:15" x14ac:dyDescent="0.2">
      <c r="A15" s="32" t="s">
        <v>1452</v>
      </c>
      <c r="B15" s="36" t="s">
        <v>806</v>
      </c>
      <c r="C15" s="36" t="s">
        <v>332</v>
      </c>
      <c r="D15" s="36" t="s">
        <v>226</v>
      </c>
      <c r="E15" s="130"/>
      <c r="F15" s="105"/>
      <c r="G15" s="105"/>
      <c r="H15" s="106"/>
      <c r="I15" s="106"/>
      <c r="J15" s="105"/>
      <c r="K15" s="130"/>
      <c r="L15" s="105"/>
      <c r="M15" s="131" t="s">
        <v>1437</v>
      </c>
      <c r="N15" s="36" t="s">
        <v>805</v>
      </c>
      <c r="O15" s="28"/>
    </row>
    <row r="16" spans="1:15" x14ac:dyDescent="0.2">
      <c r="A16" s="32" t="s">
        <v>1453</v>
      </c>
      <c r="B16" s="36" t="s">
        <v>809</v>
      </c>
      <c r="C16" s="36" t="s">
        <v>811</v>
      </c>
      <c r="D16" s="36" t="s">
        <v>1454</v>
      </c>
      <c r="E16" s="130"/>
      <c r="F16" s="105"/>
      <c r="G16" s="105"/>
      <c r="H16" s="106"/>
      <c r="I16" s="106"/>
      <c r="J16" s="105"/>
      <c r="K16" s="130"/>
      <c r="L16" s="105"/>
      <c r="M16" s="131" t="s">
        <v>1437</v>
      </c>
      <c r="N16" s="36" t="s">
        <v>808</v>
      </c>
      <c r="O16" s="28"/>
    </row>
    <row r="17" spans="1:15" x14ac:dyDescent="0.2">
      <c r="A17" s="32" t="s">
        <v>1455</v>
      </c>
      <c r="B17" s="36" t="s">
        <v>1456</v>
      </c>
      <c r="C17" s="36" t="s">
        <v>811</v>
      </c>
      <c r="D17" s="36" t="s">
        <v>1454</v>
      </c>
      <c r="E17" s="130"/>
      <c r="F17" s="105"/>
      <c r="G17" s="105"/>
      <c r="H17" s="106"/>
      <c r="I17" s="106"/>
      <c r="J17" s="105"/>
      <c r="K17" s="130"/>
      <c r="L17" s="105"/>
      <c r="M17" s="131" t="s">
        <v>1437</v>
      </c>
      <c r="N17" s="36" t="s">
        <v>813</v>
      </c>
      <c r="O17" s="28"/>
    </row>
    <row r="18" spans="1:15" x14ac:dyDescent="0.2">
      <c r="A18" s="32" t="s">
        <v>1457</v>
      </c>
      <c r="B18" s="36" t="s">
        <v>817</v>
      </c>
      <c r="C18" s="36" t="s">
        <v>811</v>
      </c>
      <c r="D18" s="36" t="s">
        <v>1458</v>
      </c>
      <c r="E18" s="130"/>
      <c r="F18" s="105"/>
      <c r="G18" s="105"/>
      <c r="H18" s="106"/>
      <c r="I18" s="106"/>
      <c r="J18" s="105"/>
      <c r="K18" s="130"/>
      <c r="L18" s="105"/>
      <c r="M18" s="131" t="s">
        <v>1437</v>
      </c>
      <c r="N18" s="36" t="s">
        <v>816</v>
      </c>
      <c r="O18" s="28"/>
    </row>
    <row r="19" spans="1:15" x14ac:dyDescent="0.2">
      <c r="A19" s="32" t="s">
        <v>1459</v>
      </c>
      <c r="B19" s="36" t="s">
        <v>1460</v>
      </c>
      <c r="C19" s="36" t="s">
        <v>706</v>
      </c>
      <c r="D19" s="36" t="s">
        <v>1461</v>
      </c>
      <c r="E19" s="130"/>
      <c r="F19" s="105"/>
      <c r="G19" s="105"/>
      <c r="H19" s="106"/>
      <c r="I19" s="106"/>
      <c r="J19" s="105"/>
      <c r="K19" s="130"/>
      <c r="L19" s="105"/>
      <c r="M19" s="131" t="s">
        <v>1437</v>
      </c>
      <c r="N19" s="36" t="s">
        <v>768</v>
      </c>
      <c r="O19" s="28"/>
    </row>
    <row r="20" spans="1:15" x14ac:dyDescent="0.2">
      <c r="A20" s="32" t="s">
        <v>1462</v>
      </c>
      <c r="B20" s="36" t="s">
        <v>1463</v>
      </c>
      <c r="C20" s="36" t="s">
        <v>550</v>
      </c>
      <c r="D20" s="36" t="s">
        <v>1461</v>
      </c>
      <c r="E20" s="130"/>
      <c r="F20" s="105"/>
      <c r="G20" s="105"/>
      <c r="H20" s="106"/>
      <c r="I20" s="106"/>
      <c r="J20" s="105"/>
      <c r="K20" s="130"/>
      <c r="L20" s="105"/>
      <c r="M20" s="131" t="s">
        <v>1437</v>
      </c>
      <c r="N20" s="36" t="s">
        <v>771</v>
      </c>
      <c r="O20" s="28"/>
    </row>
    <row r="21" spans="1:15" x14ac:dyDescent="0.2">
      <c r="A21" s="32" t="s">
        <v>1464</v>
      </c>
      <c r="B21" s="36" t="s">
        <v>540</v>
      </c>
      <c r="C21" s="36" t="s">
        <v>550</v>
      </c>
      <c r="D21" s="36" t="s">
        <v>232</v>
      </c>
      <c r="E21" s="130"/>
      <c r="F21" s="105"/>
      <c r="G21" s="105"/>
      <c r="H21" s="106"/>
      <c r="I21" s="106"/>
      <c r="J21" s="105"/>
      <c r="K21" s="130"/>
      <c r="L21" s="105"/>
      <c r="M21" s="131" t="s">
        <v>1437</v>
      </c>
      <c r="N21" s="36" t="s">
        <v>765</v>
      </c>
      <c r="O21" s="28"/>
    </row>
    <row r="22" spans="1:15" x14ac:dyDescent="0.2">
      <c r="A22" s="32" t="s">
        <v>1465</v>
      </c>
      <c r="B22" s="36" t="s">
        <v>1466</v>
      </c>
      <c r="C22" s="36" t="s">
        <v>550</v>
      </c>
      <c r="D22" s="36" t="s">
        <v>232</v>
      </c>
      <c r="E22" s="130"/>
      <c r="F22" s="105"/>
      <c r="G22" s="105"/>
      <c r="H22" s="106"/>
      <c r="I22" s="106"/>
      <c r="J22" s="105"/>
      <c r="K22" s="130"/>
      <c r="L22" s="105"/>
      <c r="M22" s="131" t="s">
        <v>1437</v>
      </c>
      <c r="N22" s="36" t="s">
        <v>765</v>
      </c>
      <c r="O22" s="28"/>
    </row>
    <row r="23" spans="1:15" x14ac:dyDescent="0.2">
      <c r="A23" s="32" t="s">
        <v>1467</v>
      </c>
      <c r="B23" s="36" t="s">
        <v>1468</v>
      </c>
      <c r="C23" s="36" t="s">
        <v>776</v>
      </c>
      <c r="D23" s="36" t="s">
        <v>232</v>
      </c>
      <c r="E23" s="130"/>
      <c r="F23" s="105"/>
      <c r="G23" s="105"/>
      <c r="H23" s="106"/>
      <c r="I23" s="106"/>
      <c r="J23" s="105"/>
      <c r="K23" s="130"/>
      <c r="L23" s="105"/>
      <c r="M23" s="131" t="s">
        <v>1437</v>
      </c>
      <c r="N23" s="36" t="s">
        <v>774</v>
      </c>
      <c r="O23" s="28"/>
    </row>
    <row r="24" spans="1:15" x14ac:dyDescent="0.2">
      <c r="A24" s="32" t="s">
        <v>1469</v>
      </c>
      <c r="B24" s="36" t="s">
        <v>1470</v>
      </c>
      <c r="C24" s="36" t="s">
        <v>831</v>
      </c>
      <c r="D24" s="36" t="s">
        <v>1471</v>
      </c>
      <c r="E24" s="130"/>
      <c r="F24" s="105"/>
      <c r="G24" s="105"/>
      <c r="H24" s="106"/>
      <c r="I24" s="106"/>
      <c r="J24" s="105"/>
      <c r="K24" s="130"/>
      <c r="L24" s="105"/>
      <c r="M24" s="131" t="s">
        <v>1437</v>
      </c>
      <c r="N24" s="36" t="s">
        <v>829</v>
      </c>
      <c r="O24" s="28"/>
    </row>
    <row r="25" spans="1:15" x14ac:dyDescent="0.2">
      <c r="A25" s="32" t="s">
        <v>1472</v>
      </c>
      <c r="B25" s="36" t="s">
        <v>1473</v>
      </c>
      <c r="C25" s="36" t="s">
        <v>706</v>
      </c>
      <c r="D25" s="36" t="s">
        <v>1474</v>
      </c>
      <c r="E25" s="130"/>
      <c r="F25" s="105"/>
      <c r="G25" s="105"/>
      <c r="H25" s="106"/>
      <c r="I25" s="106"/>
      <c r="J25" s="105"/>
      <c r="K25" s="130"/>
      <c r="L25" s="105"/>
      <c r="M25" s="131" t="s">
        <v>1437</v>
      </c>
      <c r="N25" s="36" t="s">
        <v>872</v>
      </c>
      <c r="O25" s="28"/>
    </row>
    <row r="26" spans="1:15" x14ac:dyDescent="0.2">
      <c r="A26" s="32" t="s">
        <v>1475</v>
      </c>
      <c r="B26" s="36" t="s">
        <v>1476</v>
      </c>
      <c r="C26" s="36" t="s">
        <v>706</v>
      </c>
      <c r="D26" s="36" t="s">
        <v>1474</v>
      </c>
      <c r="E26" s="130"/>
      <c r="F26" s="105"/>
      <c r="G26" s="105"/>
      <c r="H26" s="106"/>
      <c r="I26" s="106"/>
      <c r="J26" s="105"/>
      <c r="K26" s="130"/>
      <c r="L26" s="105"/>
      <c r="M26" s="131" t="s">
        <v>1437</v>
      </c>
      <c r="N26" s="36" t="s">
        <v>875</v>
      </c>
      <c r="O26" s="28"/>
    </row>
    <row r="27" spans="1:15" x14ac:dyDescent="0.2">
      <c r="A27" s="32" t="s">
        <v>1477</v>
      </c>
      <c r="B27" s="36" t="s">
        <v>1478</v>
      </c>
      <c r="C27" s="36" t="s">
        <v>706</v>
      </c>
      <c r="D27" s="36" t="s">
        <v>1474</v>
      </c>
      <c r="E27" s="130"/>
      <c r="F27" s="105"/>
      <c r="G27" s="105"/>
      <c r="H27" s="106"/>
      <c r="I27" s="106"/>
      <c r="J27" s="105"/>
      <c r="K27" s="130"/>
      <c r="L27" s="105"/>
      <c r="M27" s="131" t="s">
        <v>1437</v>
      </c>
      <c r="N27" s="36" t="s">
        <v>878</v>
      </c>
      <c r="O27" s="28"/>
    </row>
    <row r="28" spans="1:15" x14ac:dyDescent="0.2">
      <c r="A28" s="32" t="s">
        <v>1479</v>
      </c>
      <c r="B28" s="36" t="s">
        <v>1480</v>
      </c>
      <c r="C28" s="36" t="s">
        <v>706</v>
      </c>
      <c r="D28" s="36" t="s">
        <v>1481</v>
      </c>
      <c r="E28" s="130"/>
      <c r="F28" s="105"/>
      <c r="G28" s="105"/>
      <c r="H28" s="106"/>
      <c r="I28" s="106"/>
      <c r="J28" s="105"/>
      <c r="K28" s="130"/>
      <c r="L28" s="105"/>
      <c r="M28" s="131" t="s">
        <v>1437</v>
      </c>
      <c r="N28" s="36" t="s">
        <v>364</v>
      </c>
      <c r="O28" s="28"/>
    </row>
    <row r="29" spans="1:15" ht="26" x14ac:dyDescent="0.2">
      <c r="A29" s="32" t="s">
        <v>1482</v>
      </c>
      <c r="B29" s="36" t="s">
        <v>1483</v>
      </c>
      <c r="C29" s="36" t="s">
        <v>550</v>
      </c>
      <c r="D29" s="36" t="s">
        <v>1481</v>
      </c>
      <c r="E29" s="130"/>
      <c r="F29" s="105"/>
      <c r="G29" s="105"/>
      <c r="H29" s="106"/>
      <c r="I29" s="106"/>
      <c r="J29" s="105"/>
      <c r="K29" s="130"/>
      <c r="L29" s="105"/>
      <c r="M29" s="131" t="s">
        <v>1437</v>
      </c>
      <c r="N29" s="36" t="s">
        <v>364</v>
      </c>
      <c r="O29" s="28"/>
    </row>
    <row r="30" spans="1:15" x14ac:dyDescent="0.2">
      <c r="A30" s="32" t="s">
        <v>1484</v>
      </c>
      <c r="B30" s="36" t="s">
        <v>1485</v>
      </c>
      <c r="C30" s="36" t="s">
        <v>1486</v>
      </c>
      <c r="D30" s="36" t="s">
        <v>1481</v>
      </c>
      <c r="E30" s="130"/>
      <c r="F30" s="105"/>
      <c r="G30" s="105"/>
      <c r="H30" s="106"/>
      <c r="I30" s="106"/>
      <c r="J30" s="105"/>
      <c r="K30" s="130"/>
      <c r="L30" s="105"/>
      <c r="M30" s="131" t="s">
        <v>1437</v>
      </c>
      <c r="N30" s="36" t="s">
        <v>364</v>
      </c>
      <c r="O30" s="28"/>
    </row>
    <row r="31" spans="1:15" x14ac:dyDescent="0.2">
      <c r="A31" s="32"/>
      <c r="B31" s="36"/>
      <c r="C31" s="36"/>
      <c r="D31" s="36"/>
      <c r="E31" s="130"/>
      <c r="F31" s="105"/>
      <c r="G31" s="105"/>
      <c r="H31" s="106"/>
      <c r="I31" s="106"/>
      <c r="J31" s="105"/>
      <c r="K31" s="130"/>
      <c r="L31" s="105"/>
      <c r="M31" s="131"/>
      <c r="N31" s="36"/>
      <c r="O31" s="28"/>
    </row>
    <row r="32" spans="1:15" x14ac:dyDescent="0.2">
      <c r="A32" s="32"/>
      <c r="B32" s="36"/>
      <c r="C32" s="36"/>
      <c r="D32" s="36"/>
      <c r="E32" s="130"/>
      <c r="F32" s="105"/>
      <c r="G32" s="105"/>
      <c r="H32" s="106"/>
      <c r="I32" s="106"/>
      <c r="J32" s="105"/>
      <c r="K32" s="130"/>
      <c r="L32" s="105"/>
      <c r="M32" s="131"/>
      <c r="N32" s="36"/>
      <c r="O32" s="28"/>
    </row>
    <row r="33" spans="1:15" x14ac:dyDescent="0.2">
      <c r="A33" s="32"/>
      <c r="B33" s="36"/>
      <c r="C33" s="36"/>
      <c r="D33" s="36"/>
      <c r="E33" s="130"/>
      <c r="F33" s="105"/>
      <c r="G33" s="105"/>
      <c r="H33" s="106"/>
      <c r="I33" s="106"/>
      <c r="J33" s="105"/>
      <c r="K33" s="130"/>
      <c r="L33" s="105"/>
      <c r="M33" s="131"/>
      <c r="N33" s="36"/>
      <c r="O33" s="28"/>
    </row>
    <row r="34" spans="1:15" x14ac:dyDescent="0.2">
      <c r="A34" s="32"/>
      <c r="B34" s="36"/>
      <c r="C34" s="36"/>
      <c r="D34" s="36"/>
      <c r="E34" s="130"/>
      <c r="F34" s="105"/>
      <c r="G34" s="105"/>
      <c r="H34" s="106"/>
      <c r="I34" s="106"/>
      <c r="J34" s="105"/>
      <c r="K34" s="130"/>
      <c r="L34" s="105"/>
      <c r="M34" s="131"/>
      <c r="N34" s="36"/>
      <c r="O34" s="28"/>
    </row>
    <row r="35" spans="1:15" x14ac:dyDescent="0.2">
      <c r="A35" s="32"/>
      <c r="B35" s="36"/>
      <c r="C35" s="36"/>
      <c r="D35" s="36"/>
      <c r="E35" s="130"/>
      <c r="F35" s="105"/>
      <c r="G35" s="105"/>
      <c r="H35" s="106"/>
      <c r="I35" s="106"/>
      <c r="J35" s="105"/>
      <c r="K35" s="130"/>
      <c r="L35" s="105"/>
      <c r="M35" s="131"/>
      <c r="N35" s="36"/>
      <c r="O35" s="28"/>
    </row>
    <row r="36" spans="1:15" x14ac:dyDescent="0.2">
      <c r="A36" s="32"/>
      <c r="B36" s="36"/>
      <c r="C36" s="36"/>
      <c r="D36" s="36"/>
      <c r="E36" s="130"/>
      <c r="F36" s="105"/>
      <c r="G36" s="105"/>
      <c r="H36" s="106"/>
      <c r="I36" s="106"/>
      <c r="J36" s="105"/>
      <c r="K36" s="130"/>
      <c r="L36" s="105"/>
      <c r="M36" s="131"/>
      <c r="N36" s="36"/>
      <c r="O36" s="28"/>
    </row>
    <row r="37" spans="1:15" x14ac:dyDescent="0.2">
      <c r="A37" s="32"/>
      <c r="B37" s="36"/>
      <c r="C37" s="36"/>
      <c r="D37" s="36"/>
      <c r="E37" s="130"/>
      <c r="F37" s="105"/>
      <c r="G37" s="105"/>
      <c r="H37" s="106"/>
      <c r="I37" s="106"/>
      <c r="J37" s="105"/>
      <c r="K37" s="130"/>
      <c r="L37" s="105"/>
      <c r="M37" s="131"/>
      <c r="N37" s="36"/>
      <c r="O37" s="28"/>
    </row>
    <row r="38" spans="1:15" x14ac:dyDescent="0.2">
      <c r="A38" s="32"/>
      <c r="B38" s="36"/>
      <c r="C38" s="36"/>
      <c r="D38" s="36"/>
      <c r="E38" s="130"/>
      <c r="F38" s="105"/>
      <c r="G38" s="105"/>
      <c r="H38" s="106"/>
      <c r="I38" s="106"/>
      <c r="J38" s="105"/>
      <c r="K38" s="130"/>
      <c r="L38" s="105"/>
      <c r="M38" s="131"/>
      <c r="N38" s="36"/>
      <c r="O38" s="28"/>
    </row>
    <row r="39" spans="1:15" x14ac:dyDescent="0.2">
      <c r="A39" s="32"/>
      <c r="B39" s="36"/>
      <c r="C39" s="36"/>
      <c r="D39" s="36"/>
      <c r="E39" s="130"/>
      <c r="F39" s="105"/>
      <c r="G39" s="105"/>
      <c r="H39" s="106"/>
      <c r="I39" s="106"/>
      <c r="J39" s="105"/>
      <c r="K39" s="130"/>
      <c r="L39" s="105"/>
      <c r="M39" s="131"/>
      <c r="N39" s="36"/>
      <c r="O39" s="28"/>
    </row>
    <row r="40" spans="1:15" x14ac:dyDescent="0.2">
      <c r="A40" s="33"/>
      <c r="B40" s="107"/>
      <c r="C40" s="107"/>
      <c r="D40" s="107"/>
      <c r="E40" s="132"/>
      <c r="F40" s="108"/>
      <c r="G40" s="108"/>
      <c r="H40" s="109"/>
      <c r="I40" s="109"/>
      <c r="J40" s="108"/>
      <c r="K40" s="132"/>
      <c r="L40" s="108"/>
      <c r="M40" s="133"/>
      <c r="N40" s="107"/>
      <c r="O40" s="29"/>
    </row>
  </sheetData>
  <mergeCells count="2">
    <mergeCell ref="A1:O1"/>
    <mergeCell ref="A2:O2"/>
  </mergeCells>
  <conditionalFormatting sqref="I7:I40">
    <cfRule type="containsText" dxfId="121" priority="1" operator="containsText" text="Pass">
      <formula>NOT(ISERROR(SEARCH("Pass",I7)))</formula>
    </cfRule>
    <cfRule type="containsText" dxfId="120" priority="2" operator="containsText" text="Fail">
      <formula>NOT(ISERROR(SEARCH("Fail",I7)))</formula>
    </cfRule>
    <cfRule type="containsText" dxfId="119" priority="3" operator="containsText" text="Re-inspect">
      <formula>NOT(ISERROR(SEARCH("Re-inspect",I7)))</formula>
    </cfRule>
  </conditionalFormatting>
  <conditionalFormatting sqref="M7:M40">
    <cfRule type="containsText" dxfId="118" priority="4" operator="containsText" text="Closed">
      <formula>NOT(ISERROR(SEARCH("Closed",M7)))</formula>
    </cfRule>
    <cfRule type="containsText" dxfId="117" priority="5" operator="containsText" text="Scheduled">
      <formula>NOT(ISERROR(SEARCH("Scheduled",M7)))</formula>
    </cfRule>
    <cfRule type="containsText" dxfId="116" priority="6" operator="containsText" text="Open">
      <formula>NOT(ISERROR(SEARCH("Open",M7)))</formula>
    </cfRule>
  </conditionalFormatting>
  <dataValidations count="2">
    <dataValidation type="list" allowBlank="1" showInputMessage="1" showErrorMessage="1" sqref="I7:I40" xr:uid="{FB8EC519-34DE-174C-BA05-56E81A9DFD96}">
      <formula1>"Pass,Fail,Re-inspect,Pending,N/A"</formula1>
    </dataValidation>
    <dataValidation type="list" allowBlank="1" showInputMessage="1" showErrorMessage="1" sqref="M7:M40" xr:uid="{07E3BFFB-FFCF-6D43-8713-03613DE9E0C0}">
      <formula1>"Open,Requested,Scheduled,Closed,N/A"</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3637F-866C-F742-AB5E-6DF16B309321}">
  <dimension ref="A1:Q60"/>
  <sheetViews>
    <sheetView workbookViewId="0">
      <pane ySplit="6" topLeftCell="A23" activePane="bottomLeft" state="frozen"/>
      <selection pane="bottomLeft" activeCell="D12" sqref="D12"/>
    </sheetView>
  </sheetViews>
  <sheetFormatPr baseColWidth="10" defaultColWidth="11" defaultRowHeight="16" x14ac:dyDescent="0.2"/>
  <cols>
    <col min="1" max="1" width="8.33203125" style="3" customWidth="1"/>
    <col min="2" max="2" width="48.33203125" style="3" customWidth="1"/>
    <col min="3" max="3" width="17.5" style="3" customWidth="1"/>
    <col min="4" max="5" width="25" style="3" customWidth="1"/>
    <col min="6" max="6" width="11.6640625" style="3" customWidth="1"/>
    <col min="7" max="7" width="21.6640625" style="3" customWidth="1"/>
    <col min="8" max="9" width="13.6640625" style="3" customWidth="1"/>
    <col min="10" max="10" width="20" style="3" customWidth="1"/>
    <col min="11" max="11" width="13" style="3" customWidth="1"/>
    <col min="12" max="12" width="11.6640625" style="3" customWidth="1"/>
    <col min="13" max="13" width="14.6640625" style="3" customWidth="1"/>
    <col min="14" max="14" width="18.33203125" style="3" customWidth="1"/>
    <col min="15" max="15" width="11.6640625" style="3" customWidth="1"/>
    <col min="16" max="16" width="13.33203125" style="3" customWidth="1"/>
    <col min="17" max="17" width="28.33203125" style="3" customWidth="1"/>
  </cols>
  <sheetData>
    <row r="1" spans="1:17" ht="26" customHeight="1" x14ac:dyDescent="0.2">
      <c r="A1" s="249" t="s">
        <v>1487</v>
      </c>
      <c r="B1" s="249"/>
      <c r="C1" s="249"/>
      <c r="D1" s="249"/>
      <c r="E1" s="249"/>
      <c r="F1" s="249"/>
      <c r="G1" s="249"/>
      <c r="H1" s="249"/>
      <c r="I1" s="249"/>
      <c r="J1" s="249"/>
      <c r="K1" s="249"/>
      <c r="L1" s="249"/>
      <c r="M1" s="249"/>
      <c r="N1" s="249"/>
      <c r="O1" s="249"/>
      <c r="P1" s="249"/>
      <c r="Q1" s="249"/>
    </row>
    <row r="2" spans="1:17" ht="34" customHeight="1" x14ac:dyDescent="0.2">
      <c r="A2" s="257" t="s">
        <v>1488</v>
      </c>
      <c r="B2" s="257"/>
      <c r="C2" s="257"/>
      <c r="D2" s="257"/>
      <c r="E2" s="257"/>
      <c r="F2" s="257"/>
      <c r="G2" s="257"/>
      <c r="H2" s="257"/>
      <c r="I2" s="257"/>
      <c r="J2" s="257"/>
      <c r="K2" s="257"/>
      <c r="L2" s="257"/>
      <c r="M2" s="257"/>
      <c r="N2" s="257"/>
      <c r="O2" s="257"/>
      <c r="P2" s="257"/>
      <c r="Q2" s="257"/>
    </row>
    <row r="3" spans="1:17" x14ac:dyDescent="0.2">
      <c r="A3" s="4"/>
      <c r="B3" s="4"/>
      <c r="C3" s="4"/>
      <c r="D3" s="4"/>
      <c r="E3" s="4"/>
      <c r="F3" s="4"/>
      <c r="G3" s="4"/>
      <c r="H3" s="4"/>
      <c r="I3" s="4"/>
      <c r="J3" s="4"/>
      <c r="K3" s="4"/>
      <c r="L3" s="4"/>
      <c r="M3" s="4"/>
      <c r="N3" s="4"/>
      <c r="O3" s="4"/>
      <c r="P3" s="4"/>
      <c r="Q3" s="4"/>
    </row>
    <row r="4" spans="1:17" ht="22" customHeight="1" x14ac:dyDescent="0.2">
      <c r="A4" s="110" t="s">
        <v>1489</v>
      </c>
      <c r="B4" s="126">
        <f>COUNTA($A$7:$A$80)</f>
        <v>36</v>
      </c>
      <c r="C4" s="110" t="s">
        <v>1420</v>
      </c>
      <c r="D4" s="126">
        <f>COUNTIF($L$7:$L$80,"Pass")</f>
        <v>0</v>
      </c>
      <c r="E4" s="110" t="s">
        <v>1490</v>
      </c>
      <c r="F4" s="126">
        <f>COUNTIF($L$7:$L$80,"Fail")</f>
        <v>0</v>
      </c>
      <c r="G4" s="110" t="s">
        <v>1491</v>
      </c>
      <c r="H4" s="110"/>
      <c r="I4" s="126">
        <f>$B$4-COUNTA($M$7:$M$80)</f>
        <v>36</v>
      </c>
      <c r="J4" s="110" t="s">
        <v>1492</v>
      </c>
      <c r="K4" s="110"/>
      <c r="L4" s="126">
        <f>COUNTIF($K$7:$K$80,"Yes")</f>
        <v>0</v>
      </c>
      <c r="M4" s="4"/>
      <c r="N4" s="4"/>
      <c r="O4" s="4"/>
      <c r="P4" s="4"/>
      <c r="Q4" s="4"/>
    </row>
    <row r="5" spans="1:17" x14ac:dyDescent="0.2">
      <c r="A5" s="4"/>
      <c r="B5" s="4"/>
      <c r="C5" s="4"/>
      <c r="D5" s="4"/>
      <c r="E5" s="4"/>
      <c r="F5" s="4"/>
      <c r="G5" s="4"/>
      <c r="H5" s="4"/>
      <c r="I5" s="4"/>
      <c r="J5" s="4"/>
      <c r="K5" s="4"/>
      <c r="L5" s="4"/>
      <c r="M5" s="4"/>
      <c r="N5" s="4"/>
      <c r="O5" s="4"/>
      <c r="P5" s="4"/>
      <c r="Q5" s="4"/>
    </row>
    <row r="6" spans="1:17" ht="42" customHeight="1" x14ac:dyDescent="0.2">
      <c r="A6" s="48" t="s">
        <v>968</v>
      </c>
      <c r="B6" s="48" t="s">
        <v>1493</v>
      </c>
      <c r="C6" s="48" t="s">
        <v>1494</v>
      </c>
      <c r="D6" s="48" t="s">
        <v>1495</v>
      </c>
      <c r="E6" s="48" t="s">
        <v>1496</v>
      </c>
      <c r="F6" s="48" t="s">
        <v>185</v>
      </c>
      <c r="G6" s="48" t="s">
        <v>1497</v>
      </c>
      <c r="H6" s="48" t="s">
        <v>1498</v>
      </c>
      <c r="I6" s="48" t="s">
        <v>1499</v>
      </c>
      <c r="J6" s="48" t="s">
        <v>1429</v>
      </c>
      <c r="K6" s="48" t="s">
        <v>1500</v>
      </c>
      <c r="L6" s="48" t="s">
        <v>446</v>
      </c>
      <c r="M6" s="48" t="s">
        <v>1501</v>
      </c>
      <c r="N6" s="48" t="s">
        <v>1502</v>
      </c>
      <c r="O6" s="48" t="s">
        <v>1503</v>
      </c>
      <c r="P6" s="48" t="s">
        <v>448</v>
      </c>
      <c r="Q6" s="48" t="s">
        <v>299</v>
      </c>
    </row>
    <row r="7" spans="1:17" x14ac:dyDescent="0.2">
      <c r="A7" s="114" t="s">
        <v>1504</v>
      </c>
      <c r="B7" s="115" t="s">
        <v>1505</v>
      </c>
      <c r="C7" s="115" t="s">
        <v>337</v>
      </c>
      <c r="D7" s="115" t="s">
        <v>456</v>
      </c>
      <c r="E7" s="115" t="s">
        <v>1506</v>
      </c>
      <c r="F7" s="115" t="s">
        <v>193</v>
      </c>
      <c r="G7" s="115" t="s">
        <v>335</v>
      </c>
      <c r="H7" s="116"/>
      <c r="I7" s="116"/>
      <c r="J7" s="117"/>
      <c r="K7" s="117"/>
      <c r="L7" s="117"/>
      <c r="M7" s="116"/>
      <c r="N7" s="128"/>
      <c r="O7" s="117"/>
      <c r="P7" s="117" t="s">
        <v>1437</v>
      </c>
      <c r="Q7" s="118"/>
    </row>
    <row r="8" spans="1:17" ht="26" x14ac:dyDescent="0.2">
      <c r="A8" s="32" t="s">
        <v>1507</v>
      </c>
      <c r="B8" s="36" t="s">
        <v>1508</v>
      </c>
      <c r="C8" s="36" t="s">
        <v>1509</v>
      </c>
      <c r="D8" s="36" t="s">
        <v>48</v>
      </c>
      <c r="E8" s="36" t="s">
        <v>473</v>
      </c>
      <c r="F8" s="36" t="s">
        <v>193</v>
      </c>
      <c r="G8" s="36" t="s">
        <v>335</v>
      </c>
      <c r="H8" s="105"/>
      <c r="I8" s="105"/>
      <c r="J8" s="106"/>
      <c r="K8" s="106"/>
      <c r="L8" s="106"/>
      <c r="M8" s="105"/>
      <c r="N8" s="130"/>
      <c r="O8" s="106"/>
      <c r="P8" s="106" t="s">
        <v>1437</v>
      </c>
      <c r="Q8" s="28" t="s">
        <v>1510</v>
      </c>
    </row>
    <row r="9" spans="1:17" x14ac:dyDescent="0.2">
      <c r="A9" s="32" t="s">
        <v>1511</v>
      </c>
      <c r="B9" s="36" t="s">
        <v>1512</v>
      </c>
      <c r="C9" s="36" t="s">
        <v>1513</v>
      </c>
      <c r="D9" s="36" t="s">
        <v>456</v>
      </c>
      <c r="E9" s="36" t="s">
        <v>1514</v>
      </c>
      <c r="F9" s="36" t="s">
        <v>193</v>
      </c>
      <c r="G9" s="36" t="s">
        <v>335</v>
      </c>
      <c r="H9" s="105"/>
      <c r="I9" s="105"/>
      <c r="J9" s="106"/>
      <c r="K9" s="106"/>
      <c r="L9" s="106"/>
      <c r="M9" s="105"/>
      <c r="N9" s="130"/>
      <c r="O9" s="106"/>
      <c r="P9" s="106" t="s">
        <v>1437</v>
      </c>
      <c r="Q9" s="28"/>
    </row>
    <row r="10" spans="1:17" ht="26" x14ac:dyDescent="0.2">
      <c r="A10" s="32" t="s">
        <v>1515</v>
      </c>
      <c r="B10" s="36" t="s">
        <v>1516</v>
      </c>
      <c r="C10" s="36" t="s">
        <v>341</v>
      </c>
      <c r="D10" s="36" t="s">
        <v>48</v>
      </c>
      <c r="E10" s="36" t="s">
        <v>481</v>
      </c>
      <c r="F10" s="36" t="s">
        <v>191</v>
      </c>
      <c r="G10" s="36" t="s">
        <v>335</v>
      </c>
      <c r="H10" s="105"/>
      <c r="I10" s="105"/>
      <c r="J10" s="106"/>
      <c r="K10" s="106"/>
      <c r="L10" s="106"/>
      <c r="M10" s="105"/>
      <c r="N10" s="130"/>
      <c r="O10" s="106"/>
      <c r="P10" s="106" t="s">
        <v>1437</v>
      </c>
      <c r="Q10" s="28" t="s">
        <v>1517</v>
      </c>
    </row>
    <row r="11" spans="1:17" ht="26" x14ac:dyDescent="0.2">
      <c r="A11" s="32" t="s">
        <v>1518</v>
      </c>
      <c r="B11" s="36" t="s">
        <v>1519</v>
      </c>
      <c r="C11" s="36" t="s">
        <v>1520</v>
      </c>
      <c r="D11" s="36" t="s">
        <v>48</v>
      </c>
      <c r="E11" s="36" t="s">
        <v>1521</v>
      </c>
      <c r="F11" s="36" t="s">
        <v>191</v>
      </c>
      <c r="G11" s="36" t="s">
        <v>335</v>
      </c>
      <c r="H11" s="105"/>
      <c r="I11" s="105"/>
      <c r="J11" s="106"/>
      <c r="K11" s="106"/>
      <c r="L11" s="106"/>
      <c r="M11" s="105"/>
      <c r="N11" s="130"/>
      <c r="O11" s="106"/>
      <c r="P11" s="106" t="s">
        <v>1437</v>
      </c>
      <c r="Q11" s="28" t="s">
        <v>1517</v>
      </c>
    </row>
    <row r="12" spans="1:17" ht="26" x14ac:dyDescent="0.2">
      <c r="A12" s="32" t="s">
        <v>1522</v>
      </c>
      <c r="B12" s="36" t="s">
        <v>1523</v>
      </c>
      <c r="C12" s="36" t="s">
        <v>306</v>
      </c>
      <c r="D12" s="36" t="s">
        <v>744</v>
      </c>
      <c r="E12" s="36" t="s">
        <v>1524</v>
      </c>
      <c r="F12" s="36" t="s">
        <v>300</v>
      </c>
      <c r="G12" s="36" t="s">
        <v>1525</v>
      </c>
      <c r="H12" s="105"/>
      <c r="I12" s="105"/>
      <c r="J12" s="106"/>
      <c r="K12" s="106"/>
      <c r="L12" s="106"/>
      <c r="M12" s="105"/>
      <c r="N12" s="130"/>
      <c r="O12" s="106"/>
      <c r="P12" s="106" t="s">
        <v>1437</v>
      </c>
      <c r="Q12" s="28"/>
    </row>
    <row r="13" spans="1:17" ht="26" x14ac:dyDescent="0.2">
      <c r="A13" s="32" t="s">
        <v>1526</v>
      </c>
      <c r="B13" s="36" t="s">
        <v>1527</v>
      </c>
      <c r="C13" s="36" t="s">
        <v>306</v>
      </c>
      <c r="D13" s="36" t="s">
        <v>744</v>
      </c>
      <c r="E13" s="36" t="s">
        <v>1528</v>
      </c>
      <c r="F13" s="36" t="s">
        <v>307</v>
      </c>
      <c r="G13" s="36" t="s">
        <v>309</v>
      </c>
      <c r="H13" s="105"/>
      <c r="I13" s="105"/>
      <c r="J13" s="106"/>
      <c r="K13" s="106"/>
      <c r="L13" s="106"/>
      <c r="M13" s="105"/>
      <c r="N13" s="130"/>
      <c r="O13" s="106"/>
      <c r="P13" s="106" t="s">
        <v>1437</v>
      </c>
      <c r="Q13" s="28"/>
    </row>
    <row r="14" spans="1:17" ht="26" x14ac:dyDescent="0.2">
      <c r="A14" s="32" t="s">
        <v>1529</v>
      </c>
      <c r="B14" s="36" t="s">
        <v>1530</v>
      </c>
      <c r="C14" s="36" t="s">
        <v>1531</v>
      </c>
      <c r="D14" s="36" t="s">
        <v>48</v>
      </c>
      <c r="E14" s="36" t="s">
        <v>635</v>
      </c>
      <c r="F14" s="36" t="s">
        <v>209</v>
      </c>
      <c r="G14" s="36" t="s">
        <v>314</v>
      </c>
      <c r="H14" s="105"/>
      <c r="I14" s="105"/>
      <c r="J14" s="106"/>
      <c r="K14" s="106"/>
      <c r="L14" s="106"/>
      <c r="M14" s="105"/>
      <c r="N14" s="130"/>
      <c r="O14" s="106"/>
      <c r="P14" s="106" t="s">
        <v>1437</v>
      </c>
      <c r="Q14" s="28" t="s">
        <v>1532</v>
      </c>
    </row>
    <row r="15" spans="1:17" ht="26" x14ac:dyDescent="0.2">
      <c r="A15" s="32" t="s">
        <v>1533</v>
      </c>
      <c r="B15" s="36" t="s">
        <v>1534</v>
      </c>
      <c r="C15" s="36" t="s">
        <v>353</v>
      </c>
      <c r="D15" s="36" t="s">
        <v>48</v>
      </c>
      <c r="E15" s="36" t="s">
        <v>621</v>
      </c>
      <c r="F15" s="36" t="s">
        <v>1535</v>
      </c>
      <c r="G15" s="36" t="s">
        <v>351</v>
      </c>
      <c r="H15" s="105"/>
      <c r="I15" s="105"/>
      <c r="J15" s="106"/>
      <c r="K15" s="106"/>
      <c r="L15" s="106"/>
      <c r="M15" s="105"/>
      <c r="N15" s="130"/>
      <c r="O15" s="106"/>
      <c r="P15" s="106" t="s">
        <v>1437</v>
      </c>
      <c r="Q15" s="28" t="s">
        <v>1536</v>
      </c>
    </row>
    <row r="16" spans="1:17" ht="52" x14ac:dyDescent="0.2">
      <c r="A16" s="32" t="s">
        <v>1537</v>
      </c>
      <c r="B16" s="36" t="s">
        <v>1538</v>
      </c>
      <c r="C16" s="36" t="s">
        <v>353</v>
      </c>
      <c r="D16" s="36" t="s">
        <v>1539</v>
      </c>
      <c r="E16" s="36" t="s">
        <v>1540</v>
      </c>
      <c r="F16" s="36" t="s">
        <v>354</v>
      </c>
      <c r="G16" s="36" t="s">
        <v>357</v>
      </c>
      <c r="H16" s="105"/>
      <c r="I16" s="105"/>
      <c r="J16" s="106"/>
      <c r="K16" s="106"/>
      <c r="L16" s="106"/>
      <c r="M16" s="105"/>
      <c r="N16" s="130"/>
      <c r="O16" s="106"/>
      <c r="P16" s="106" t="s">
        <v>1437</v>
      </c>
      <c r="Q16" s="28" t="s">
        <v>1541</v>
      </c>
    </row>
    <row r="17" spans="1:17" ht="26" x14ac:dyDescent="0.2">
      <c r="A17" s="32" t="s">
        <v>1542</v>
      </c>
      <c r="B17" s="36" t="s">
        <v>1543</v>
      </c>
      <c r="C17" s="36" t="s">
        <v>353</v>
      </c>
      <c r="D17" s="36" t="s">
        <v>1539</v>
      </c>
      <c r="E17" s="36" t="s">
        <v>621</v>
      </c>
      <c r="F17" s="36" t="s">
        <v>348</v>
      </c>
      <c r="G17" s="36" t="s">
        <v>357</v>
      </c>
      <c r="H17" s="105"/>
      <c r="I17" s="105"/>
      <c r="J17" s="106"/>
      <c r="K17" s="106"/>
      <c r="L17" s="106"/>
      <c r="M17" s="105"/>
      <c r="N17" s="130"/>
      <c r="O17" s="106"/>
      <c r="P17" s="106" t="s">
        <v>1437</v>
      </c>
      <c r="Q17" s="28" t="s">
        <v>1544</v>
      </c>
    </row>
    <row r="18" spans="1:17" ht="26" x14ac:dyDescent="0.2">
      <c r="A18" s="32" t="s">
        <v>1545</v>
      </c>
      <c r="B18" s="36" t="s">
        <v>1546</v>
      </c>
      <c r="C18" s="36" t="s">
        <v>353</v>
      </c>
      <c r="D18" s="36" t="s">
        <v>48</v>
      </c>
      <c r="E18" s="36" t="s">
        <v>1547</v>
      </c>
      <c r="F18" s="36" t="s">
        <v>403</v>
      </c>
      <c r="G18" s="36" t="s">
        <v>314</v>
      </c>
      <c r="H18" s="105"/>
      <c r="I18" s="105"/>
      <c r="J18" s="106"/>
      <c r="K18" s="106"/>
      <c r="L18" s="106"/>
      <c r="M18" s="105"/>
      <c r="N18" s="130"/>
      <c r="O18" s="106"/>
      <c r="P18" s="106" t="s">
        <v>1437</v>
      </c>
      <c r="Q18" s="28" t="s">
        <v>1548</v>
      </c>
    </row>
    <row r="19" spans="1:17" ht="39" x14ac:dyDescent="0.2">
      <c r="A19" s="32" t="s">
        <v>1549</v>
      </c>
      <c r="B19" s="36" t="s">
        <v>1550</v>
      </c>
      <c r="C19" s="36" t="s">
        <v>1551</v>
      </c>
      <c r="D19" s="36" t="s">
        <v>48</v>
      </c>
      <c r="E19" s="36" t="s">
        <v>1552</v>
      </c>
      <c r="F19" s="36" t="s">
        <v>231</v>
      </c>
      <c r="G19" s="36" t="s">
        <v>314</v>
      </c>
      <c r="H19" s="105"/>
      <c r="I19" s="105"/>
      <c r="J19" s="106"/>
      <c r="K19" s="106"/>
      <c r="L19" s="106"/>
      <c r="M19" s="105"/>
      <c r="N19" s="130"/>
      <c r="O19" s="106"/>
      <c r="P19" s="106" t="s">
        <v>1437</v>
      </c>
      <c r="Q19" s="28" t="s">
        <v>1553</v>
      </c>
    </row>
    <row r="20" spans="1:17" x14ac:dyDescent="0.2">
      <c r="A20" s="32" t="s">
        <v>1554</v>
      </c>
      <c r="B20" s="36" t="s">
        <v>1555</v>
      </c>
      <c r="C20" s="36" t="s">
        <v>1551</v>
      </c>
      <c r="D20" s="36" t="s">
        <v>754</v>
      </c>
      <c r="E20" s="36" t="s">
        <v>1552</v>
      </c>
      <c r="F20" s="36" t="s">
        <v>233</v>
      </c>
      <c r="G20" s="36" t="s">
        <v>314</v>
      </c>
      <c r="H20" s="105"/>
      <c r="I20" s="105"/>
      <c r="J20" s="106"/>
      <c r="K20" s="106"/>
      <c r="L20" s="106"/>
      <c r="M20" s="105"/>
      <c r="N20" s="130"/>
      <c r="O20" s="106"/>
      <c r="P20" s="106" t="s">
        <v>1437</v>
      </c>
      <c r="Q20" s="28"/>
    </row>
    <row r="21" spans="1:17" x14ac:dyDescent="0.2">
      <c r="A21" s="32" t="s">
        <v>1556</v>
      </c>
      <c r="B21" s="36" t="s">
        <v>1557</v>
      </c>
      <c r="C21" s="36" t="s">
        <v>1558</v>
      </c>
      <c r="D21" s="36" t="s">
        <v>48</v>
      </c>
      <c r="E21" s="36" t="s">
        <v>1547</v>
      </c>
      <c r="F21" s="36" t="s">
        <v>1559</v>
      </c>
      <c r="G21" s="36" t="s">
        <v>314</v>
      </c>
      <c r="H21" s="105"/>
      <c r="I21" s="105"/>
      <c r="J21" s="106"/>
      <c r="K21" s="106"/>
      <c r="L21" s="106"/>
      <c r="M21" s="105"/>
      <c r="N21" s="130"/>
      <c r="O21" s="106"/>
      <c r="P21" s="106" t="s">
        <v>1437</v>
      </c>
      <c r="Q21" s="28" t="s">
        <v>1560</v>
      </c>
    </row>
    <row r="22" spans="1:17" x14ac:dyDescent="0.2">
      <c r="A22" s="32" t="s">
        <v>1561</v>
      </c>
      <c r="B22" s="36" t="s">
        <v>1562</v>
      </c>
      <c r="C22" s="36" t="s">
        <v>318</v>
      </c>
      <c r="D22" s="36" t="s">
        <v>48</v>
      </c>
      <c r="E22" s="36" t="s">
        <v>1563</v>
      </c>
      <c r="F22" s="36" t="s">
        <v>200</v>
      </c>
      <c r="G22" s="36" t="s">
        <v>357</v>
      </c>
      <c r="H22" s="105"/>
      <c r="I22" s="105"/>
      <c r="J22" s="106"/>
      <c r="K22" s="106"/>
      <c r="L22" s="106"/>
      <c r="M22" s="105"/>
      <c r="N22" s="130"/>
      <c r="O22" s="106"/>
      <c r="P22" s="106" t="s">
        <v>1437</v>
      </c>
      <c r="Q22" s="28"/>
    </row>
    <row r="23" spans="1:17" ht="52" x14ac:dyDescent="0.2">
      <c r="A23" s="32" t="s">
        <v>1564</v>
      </c>
      <c r="B23" s="36" t="s">
        <v>1565</v>
      </c>
      <c r="C23" s="36" t="s">
        <v>318</v>
      </c>
      <c r="D23" s="36" t="s">
        <v>48</v>
      </c>
      <c r="E23" s="36" t="s">
        <v>1566</v>
      </c>
      <c r="F23" s="36" t="s">
        <v>193</v>
      </c>
      <c r="G23" s="36" t="s">
        <v>357</v>
      </c>
      <c r="H23" s="105"/>
      <c r="I23" s="105"/>
      <c r="J23" s="106"/>
      <c r="K23" s="106"/>
      <c r="L23" s="106"/>
      <c r="M23" s="105"/>
      <c r="N23" s="130"/>
      <c r="O23" s="106"/>
      <c r="P23" s="106" t="s">
        <v>1437</v>
      </c>
      <c r="Q23" s="28" t="s">
        <v>1567</v>
      </c>
    </row>
    <row r="24" spans="1:17" ht="26" x14ac:dyDescent="0.2">
      <c r="A24" s="32" t="s">
        <v>1568</v>
      </c>
      <c r="B24" s="36" t="s">
        <v>1569</v>
      </c>
      <c r="C24" s="36" t="s">
        <v>826</v>
      </c>
      <c r="D24" s="36" t="s">
        <v>1570</v>
      </c>
      <c r="E24" s="36" t="s">
        <v>1571</v>
      </c>
      <c r="F24" s="36" t="s">
        <v>364</v>
      </c>
      <c r="G24" s="36" t="s">
        <v>309</v>
      </c>
      <c r="H24" s="105"/>
      <c r="I24" s="105"/>
      <c r="J24" s="106"/>
      <c r="K24" s="106"/>
      <c r="L24" s="106"/>
      <c r="M24" s="105"/>
      <c r="N24" s="130"/>
      <c r="O24" s="106"/>
      <c r="P24" s="106" t="s">
        <v>1437</v>
      </c>
      <c r="Q24" s="28"/>
    </row>
    <row r="25" spans="1:17" ht="26" x14ac:dyDescent="0.2">
      <c r="A25" s="50" t="s">
        <v>1572</v>
      </c>
      <c r="B25" s="142" t="s">
        <v>1573</v>
      </c>
      <c r="C25" s="142" t="s">
        <v>1574</v>
      </c>
      <c r="D25" s="142" t="s">
        <v>48</v>
      </c>
      <c r="E25" s="142" t="s">
        <v>1575</v>
      </c>
      <c r="F25" s="142" t="s">
        <v>1576</v>
      </c>
      <c r="G25" s="142" t="s">
        <v>314</v>
      </c>
      <c r="H25" s="121"/>
      <c r="I25" s="121"/>
      <c r="J25" s="122"/>
      <c r="K25" s="122"/>
      <c r="L25" s="122"/>
      <c r="M25" s="121"/>
      <c r="N25" s="120"/>
      <c r="O25" s="122"/>
      <c r="P25" s="122" t="s">
        <v>1437</v>
      </c>
      <c r="Q25" s="143" t="s">
        <v>1577</v>
      </c>
    </row>
    <row r="26" spans="1:17" ht="26" x14ac:dyDescent="0.2">
      <c r="A26" s="50" t="s">
        <v>1578</v>
      </c>
      <c r="B26" s="142" t="s">
        <v>1579</v>
      </c>
      <c r="C26" s="142" t="s">
        <v>1580</v>
      </c>
      <c r="D26" s="142" t="s">
        <v>1539</v>
      </c>
      <c r="E26" s="142" t="s">
        <v>1575</v>
      </c>
      <c r="F26" s="142" t="s">
        <v>1581</v>
      </c>
      <c r="G26" s="142" t="s">
        <v>314</v>
      </c>
      <c r="H26" s="121"/>
      <c r="I26" s="121"/>
      <c r="J26" s="122"/>
      <c r="K26" s="122"/>
      <c r="L26" s="122"/>
      <c r="M26" s="121"/>
      <c r="N26" s="120"/>
      <c r="O26" s="122"/>
      <c r="P26" s="122" t="s">
        <v>1437</v>
      </c>
      <c r="Q26" s="143" t="s">
        <v>1582</v>
      </c>
    </row>
    <row r="27" spans="1:17" ht="26" x14ac:dyDescent="0.2">
      <c r="A27" s="32" t="s">
        <v>1583</v>
      </c>
      <c r="B27" s="36" t="s">
        <v>1584</v>
      </c>
      <c r="C27" s="36" t="s">
        <v>1585</v>
      </c>
      <c r="D27" s="36" t="s">
        <v>48</v>
      </c>
      <c r="E27" s="36" t="s">
        <v>1586</v>
      </c>
      <c r="F27" s="36" t="s">
        <v>1576</v>
      </c>
      <c r="G27" s="36" t="s">
        <v>314</v>
      </c>
      <c r="H27" s="105"/>
      <c r="I27" s="105"/>
      <c r="J27" s="106"/>
      <c r="K27" s="106"/>
      <c r="L27" s="106"/>
      <c r="M27" s="105"/>
      <c r="N27" s="130"/>
      <c r="O27" s="106"/>
      <c r="P27" s="106" t="s">
        <v>1437</v>
      </c>
      <c r="Q27" s="28" t="s">
        <v>1587</v>
      </c>
    </row>
    <row r="28" spans="1:17" x14ac:dyDescent="0.2">
      <c r="A28" s="32" t="s">
        <v>1588</v>
      </c>
      <c r="B28" s="36" t="s">
        <v>1589</v>
      </c>
      <c r="C28" s="36" t="s">
        <v>1590</v>
      </c>
      <c r="D28" s="36" t="s">
        <v>48</v>
      </c>
      <c r="E28" s="36" t="s">
        <v>1591</v>
      </c>
      <c r="F28" s="36" t="s">
        <v>209</v>
      </c>
      <c r="G28" s="36" t="s">
        <v>314</v>
      </c>
      <c r="H28" s="105"/>
      <c r="I28" s="105"/>
      <c r="J28" s="106"/>
      <c r="K28" s="106"/>
      <c r="L28" s="106"/>
      <c r="M28" s="105"/>
      <c r="N28" s="130"/>
      <c r="O28" s="106"/>
      <c r="P28" s="106" t="s">
        <v>1437</v>
      </c>
      <c r="Q28" s="28" t="s">
        <v>1592</v>
      </c>
    </row>
    <row r="29" spans="1:17" ht="39" x14ac:dyDescent="0.2">
      <c r="A29" s="32" t="s">
        <v>1593</v>
      </c>
      <c r="B29" s="36" t="s">
        <v>1594</v>
      </c>
      <c r="C29" s="36" t="s">
        <v>1595</v>
      </c>
      <c r="D29" s="36" t="s">
        <v>48</v>
      </c>
      <c r="E29" s="36" t="s">
        <v>1596</v>
      </c>
      <c r="F29" s="36" t="s">
        <v>403</v>
      </c>
      <c r="G29" s="36" t="s">
        <v>314</v>
      </c>
      <c r="H29" s="105"/>
      <c r="I29" s="105"/>
      <c r="J29" s="106"/>
      <c r="K29" s="106"/>
      <c r="L29" s="106"/>
      <c r="M29" s="105"/>
      <c r="N29" s="130"/>
      <c r="O29" s="106"/>
      <c r="P29" s="106" t="s">
        <v>1437</v>
      </c>
      <c r="Q29" s="28" t="s">
        <v>1597</v>
      </c>
    </row>
    <row r="30" spans="1:17" ht="52" x14ac:dyDescent="0.2">
      <c r="A30" s="32" t="s">
        <v>1598</v>
      </c>
      <c r="B30" s="36" t="s">
        <v>1599</v>
      </c>
      <c r="C30" s="36" t="s">
        <v>1600</v>
      </c>
      <c r="D30" s="36" t="s">
        <v>48</v>
      </c>
      <c r="E30" s="36" t="s">
        <v>1601</v>
      </c>
      <c r="F30" s="36" t="s">
        <v>1576</v>
      </c>
      <c r="G30" s="36" t="s">
        <v>314</v>
      </c>
      <c r="H30" s="105"/>
      <c r="I30" s="105"/>
      <c r="J30" s="106"/>
      <c r="K30" s="106"/>
      <c r="L30" s="106"/>
      <c r="M30" s="105"/>
      <c r="N30" s="130"/>
      <c r="O30" s="106"/>
      <c r="P30" s="106" t="s">
        <v>1437</v>
      </c>
      <c r="Q30" s="28" t="s">
        <v>1602</v>
      </c>
    </row>
    <row r="31" spans="1:17" x14ac:dyDescent="0.2">
      <c r="A31" s="32"/>
      <c r="B31" s="36"/>
      <c r="C31" s="36"/>
      <c r="D31" s="36"/>
      <c r="E31" s="36"/>
      <c r="F31" s="36"/>
      <c r="G31" s="36"/>
      <c r="H31" s="105"/>
      <c r="I31" s="105"/>
      <c r="J31" s="106"/>
      <c r="K31" s="106"/>
      <c r="L31" s="106"/>
      <c r="M31" s="105"/>
      <c r="N31" s="130"/>
      <c r="O31" s="106"/>
      <c r="P31" s="106"/>
      <c r="Q31" s="28"/>
    </row>
    <row r="32" spans="1:17" x14ac:dyDescent="0.2">
      <c r="A32" s="32"/>
      <c r="B32" s="36"/>
      <c r="C32" s="36"/>
      <c r="D32" s="36"/>
      <c r="E32" s="36"/>
      <c r="F32" s="36"/>
      <c r="G32" s="36"/>
      <c r="H32" s="105"/>
      <c r="I32" s="105"/>
      <c r="J32" s="106"/>
      <c r="K32" s="106"/>
      <c r="L32" s="106"/>
      <c r="M32" s="105"/>
      <c r="N32" s="130"/>
      <c r="O32" s="106"/>
      <c r="P32" s="106"/>
      <c r="Q32" s="28"/>
    </row>
    <row r="33" spans="1:17" x14ac:dyDescent="0.2">
      <c r="A33" s="32"/>
      <c r="B33" s="36"/>
      <c r="C33" s="36"/>
      <c r="D33" s="36"/>
      <c r="E33" s="36"/>
      <c r="F33" s="36"/>
      <c r="G33" s="36"/>
      <c r="H33" s="105"/>
      <c r="I33" s="105"/>
      <c r="J33" s="106"/>
      <c r="K33" s="106"/>
      <c r="L33" s="106"/>
      <c r="M33" s="105"/>
      <c r="N33" s="130"/>
      <c r="O33" s="106"/>
      <c r="P33" s="106"/>
      <c r="Q33" s="28"/>
    </row>
    <row r="34" spans="1:17" x14ac:dyDescent="0.2">
      <c r="A34" s="32"/>
      <c r="B34" s="36"/>
      <c r="C34" s="36"/>
      <c r="D34" s="36"/>
      <c r="E34" s="36"/>
      <c r="F34" s="36"/>
      <c r="G34" s="36"/>
      <c r="H34" s="105"/>
      <c r="I34" s="105"/>
      <c r="J34" s="106"/>
      <c r="K34" s="106"/>
      <c r="L34" s="106"/>
      <c r="M34" s="105"/>
      <c r="N34" s="130"/>
      <c r="O34" s="106"/>
      <c r="P34" s="106"/>
      <c r="Q34" s="28"/>
    </row>
    <row r="35" spans="1:17" x14ac:dyDescent="0.2">
      <c r="A35" s="32"/>
      <c r="B35" s="36"/>
      <c r="C35" s="36"/>
      <c r="D35" s="36"/>
      <c r="E35" s="36"/>
      <c r="F35" s="36"/>
      <c r="G35" s="36"/>
      <c r="H35" s="105"/>
      <c r="I35" s="105"/>
      <c r="J35" s="106"/>
      <c r="K35" s="106"/>
      <c r="L35" s="106"/>
      <c r="M35" s="105"/>
      <c r="N35" s="130"/>
      <c r="O35" s="106"/>
      <c r="P35" s="106"/>
      <c r="Q35" s="28"/>
    </row>
    <row r="36" spans="1:17" x14ac:dyDescent="0.2">
      <c r="A36" s="32"/>
      <c r="B36" s="36"/>
      <c r="C36" s="36"/>
      <c r="D36" s="36"/>
      <c r="E36" s="36"/>
      <c r="F36" s="36"/>
      <c r="G36" s="36"/>
      <c r="H36" s="105"/>
      <c r="I36" s="105"/>
      <c r="J36" s="106"/>
      <c r="K36" s="106"/>
      <c r="L36" s="106"/>
      <c r="M36" s="105"/>
      <c r="N36" s="130"/>
      <c r="O36" s="106"/>
      <c r="P36" s="106"/>
      <c r="Q36" s="28"/>
    </row>
    <row r="37" spans="1:17" x14ac:dyDescent="0.2">
      <c r="A37" s="32"/>
      <c r="B37" s="36"/>
      <c r="C37" s="36"/>
      <c r="D37" s="36"/>
      <c r="E37" s="36"/>
      <c r="F37" s="36"/>
      <c r="G37" s="36"/>
      <c r="H37" s="105"/>
      <c r="I37" s="105"/>
      <c r="J37" s="106"/>
      <c r="K37" s="106"/>
      <c r="L37" s="106"/>
      <c r="M37" s="105"/>
      <c r="N37" s="130"/>
      <c r="O37" s="106"/>
      <c r="P37" s="106"/>
      <c r="Q37" s="28"/>
    </row>
    <row r="38" spans="1:17" x14ac:dyDescent="0.2">
      <c r="A38" s="32"/>
      <c r="B38" s="36"/>
      <c r="C38" s="36"/>
      <c r="D38" s="36"/>
      <c r="E38" s="36"/>
      <c r="F38" s="36"/>
      <c r="G38" s="36"/>
      <c r="H38" s="105"/>
      <c r="I38" s="105"/>
      <c r="J38" s="106"/>
      <c r="K38" s="106"/>
      <c r="L38" s="106"/>
      <c r="M38" s="105"/>
      <c r="N38" s="130"/>
      <c r="O38" s="106"/>
      <c r="P38" s="106"/>
      <c r="Q38" s="28"/>
    </row>
    <row r="39" spans="1:17" x14ac:dyDescent="0.2">
      <c r="A39" s="32"/>
      <c r="B39" s="36"/>
      <c r="C39" s="36"/>
      <c r="D39" s="36"/>
      <c r="E39" s="36"/>
      <c r="F39" s="36"/>
      <c r="G39" s="36"/>
      <c r="H39" s="105"/>
      <c r="I39" s="105"/>
      <c r="J39" s="106"/>
      <c r="K39" s="106"/>
      <c r="L39" s="106"/>
      <c r="M39" s="105"/>
      <c r="N39" s="130"/>
      <c r="O39" s="106"/>
      <c r="P39" s="106"/>
      <c r="Q39" s="28"/>
    </row>
    <row r="40" spans="1:17" x14ac:dyDescent="0.2">
      <c r="A40" s="32"/>
      <c r="B40" s="36"/>
      <c r="C40" s="36"/>
      <c r="D40" s="36"/>
      <c r="E40" s="36"/>
      <c r="F40" s="36"/>
      <c r="G40" s="36"/>
      <c r="H40" s="105"/>
      <c r="I40" s="105"/>
      <c r="J40" s="106"/>
      <c r="K40" s="106"/>
      <c r="L40" s="106"/>
      <c r="M40" s="105"/>
      <c r="N40" s="130"/>
      <c r="O40" s="106"/>
      <c r="P40" s="106"/>
      <c r="Q40" s="28"/>
    </row>
    <row r="41" spans="1:17" x14ac:dyDescent="0.2">
      <c r="A41" s="32"/>
      <c r="B41" s="36"/>
      <c r="C41" s="36"/>
      <c r="D41" s="36"/>
      <c r="E41" s="36"/>
      <c r="F41" s="36"/>
      <c r="G41" s="36"/>
      <c r="H41" s="105"/>
      <c r="I41" s="105"/>
      <c r="J41" s="106"/>
      <c r="K41" s="106"/>
      <c r="L41" s="106"/>
      <c r="M41" s="105"/>
      <c r="N41" s="130"/>
      <c r="O41" s="106"/>
      <c r="P41" s="106"/>
      <c r="Q41" s="28"/>
    </row>
    <row r="42" spans="1:17" x14ac:dyDescent="0.2">
      <c r="A42" s="32"/>
      <c r="B42" s="36"/>
      <c r="C42" s="36"/>
      <c r="D42" s="36"/>
      <c r="E42" s="36"/>
      <c r="F42" s="36"/>
      <c r="G42" s="36"/>
      <c r="H42" s="105"/>
      <c r="I42" s="105"/>
      <c r="J42" s="106"/>
      <c r="K42" s="106"/>
      <c r="L42" s="106"/>
      <c r="M42" s="105"/>
      <c r="N42" s="130"/>
      <c r="O42" s="106"/>
      <c r="P42" s="106"/>
      <c r="Q42" s="28"/>
    </row>
    <row r="43" spans="1:17" x14ac:dyDescent="0.2">
      <c r="A43" s="32"/>
      <c r="B43" s="36"/>
      <c r="C43" s="36"/>
      <c r="D43" s="36"/>
      <c r="E43" s="36"/>
      <c r="F43" s="36"/>
      <c r="G43" s="36"/>
      <c r="H43" s="105"/>
      <c r="I43" s="105"/>
      <c r="J43" s="106"/>
      <c r="K43" s="106"/>
      <c r="L43" s="106"/>
      <c r="M43" s="105"/>
      <c r="N43" s="130"/>
      <c r="O43" s="106"/>
      <c r="P43" s="106"/>
      <c r="Q43" s="28"/>
    </row>
    <row r="44" spans="1:17" x14ac:dyDescent="0.2">
      <c r="A44" s="32"/>
      <c r="B44" s="36"/>
      <c r="C44" s="36"/>
      <c r="D44" s="36"/>
      <c r="E44" s="36"/>
      <c r="F44" s="36"/>
      <c r="G44" s="36"/>
      <c r="H44" s="105"/>
      <c r="I44" s="105"/>
      <c r="J44" s="106"/>
      <c r="K44" s="106"/>
      <c r="L44" s="106"/>
      <c r="M44" s="105"/>
      <c r="N44" s="130"/>
      <c r="O44" s="106"/>
      <c r="P44" s="106"/>
      <c r="Q44" s="28"/>
    </row>
    <row r="45" spans="1:17" x14ac:dyDescent="0.2">
      <c r="A45" s="33"/>
      <c r="B45" s="107"/>
      <c r="C45" s="107"/>
      <c r="D45" s="107"/>
      <c r="E45" s="107"/>
      <c r="F45" s="107"/>
      <c r="G45" s="107"/>
      <c r="H45" s="108"/>
      <c r="I45" s="108"/>
      <c r="J45" s="109"/>
      <c r="K45" s="109"/>
      <c r="L45" s="109"/>
      <c r="M45" s="108"/>
      <c r="N45" s="132"/>
      <c r="O45" s="109"/>
      <c r="P45" s="109"/>
      <c r="Q45" s="29"/>
    </row>
    <row r="46" spans="1:17" x14ac:dyDescent="0.2">
      <c r="A46" s="4"/>
      <c r="B46" s="4"/>
      <c r="C46" s="4"/>
      <c r="D46" s="4"/>
      <c r="E46" s="4"/>
      <c r="F46" s="4"/>
      <c r="G46" s="4"/>
      <c r="H46" s="4"/>
      <c r="I46" s="4"/>
      <c r="J46" s="4"/>
      <c r="K46" s="4"/>
      <c r="L46" s="4"/>
      <c r="M46" s="4"/>
      <c r="N46" s="4"/>
      <c r="O46" s="4"/>
      <c r="P46" s="4"/>
      <c r="Q46" s="4"/>
    </row>
    <row r="47" spans="1:17" x14ac:dyDescent="0.2">
      <c r="A47" s="4"/>
      <c r="B47" s="4"/>
      <c r="C47" s="4"/>
      <c r="D47" s="4"/>
      <c r="E47" s="4"/>
      <c r="F47" s="4"/>
      <c r="G47" s="4"/>
      <c r="H47" s="4"/>
      <c r="I47" s="4"/>
      <c r="J47" s="4"/>
      <c r="K47" s="4"/>
      <c r="L47" s="4"/>
      <c r="M47" s="4"/>
      <c r="N47" s="4"/>
      <c r="O47" s="4"/>
      <c r="P47" s="4"/>
      <c r="Q47" s="4"/>
    </row>
    <row r="48" spans="1:17" ht="34" customHeight="1" x14ac:dyDescent="0.2">
      <c r="A48" s="250" t="s">
        <v>1603</v>
      </c>
      <c r="B48" s="250"/>
      <c r="C48" s="250"/>
      <c r="D48" s="250"/>
      <c r="E48" s="250"/>
      <c r="F48" s="250"/>
      <c r="G48" s="250"/>
      <c r="H48" s="250"/>
      <c r="I48" s="250"/>
      <c r="J48" s="250"/>
      <c r="K48" s="250"/>
      <c r="L48" s="250"/>
      <c r="M48" s="250"/>
      <c r="N48" s="250"/>
      <c r="O48" s="250"/>
      <c r="P48" s="250"/>
      <c r="Q48" s="250"/>
    </row>
    <row r="49" spans="1:17" ht="40" customHeight="1" x14ac:dyDescent="0.2">
      <c r="A49" s="220" t="s">
        <v>1604</v>
      </c>
      <c r="B49" s="220" t="s">
        <v>1605</v>
      </c>
      <c r="C49" s="220" t="s">
        <v>1606</v>
      </c>
      <c r="D49" s="220" t="s">
        <v>1607</v>
      </c>
      <c r="E49" s="220" t="s">
        <v>1608</v>
      </c>
      <c r="F49" s="220" t="s">
        <v>1609</v>
      </c>
      <c r="G49" s="220" t="s">
        <v>1610</v>
      </c>
      <c r="H49" s="220" t="s">
        <v>1611</v>
      </c>
      <c r="I49" s="4"/>
      <c r="J49" s="4"/>
      <c r="K49" s="4"/>
      <c r="L49" s="4"/>
      <c r="M49" s="4"/>
      <c r="N49" s="4"/>
      <c r="O49" s="4"/>
      <c r="P49" s="4"/>
      <c r="Q49" s="4"/>
    </row>
    <row r="50" spans="1:17" ht="39" x14ac:dyDescent="0.2">
      <c r="A50" s="134">
        <v>1</v>
      </c>
      <c r="B50" s="144" t="s">
        <v>1612</v>
      </c>
      <c r="C50" s="145">
        <v>1</v>
      </c>
      <c r="D50" s="135" t="s">
        <v>364</v>
      </c>
      <c r="E50" s="135" t="s">
        <v>1613</v>
      </c>
      <c r="F50" s="136"/>
      <c r="G50" s="146">
        <f t="shared" ref="G50:G59" si="0">IF($C50="","",$C50-N($F50))</f>
        <v>1</v>
      </c>
      <c r="H50" s="137" t="s">
        <v>1614</v>
      </c>
      <c r="I50" s="4"/>
      <c r="J50" s="4"/>
      <c r="K50" s="4"/>
      <c r="L50" s="4"/>
      <c r="M50" s="4"/>
      <c r="N50" s="4"/>
      <c r="O50" s="4"/>
      <c r="P50" s="4"/>
      <c r="Q50" s="4"/>
    </row>
    <row r="51" spans="1:17" ht="91" x14ac:dyDescent="0.2">
      <c r="A51" s="138">
        <v>2</v>
      </c>
      <c r="B51" s="147" t="s">
        <v>1615</v>
      </c>
      <c r="C51" s="148">
        <v>2</v>
      </c>
      <c r="D51" s="139" t="s">
        <v>1616</v>
      </c>
      <c r="E51" s="139" t="s">
        <v>1617</v>
      </c>
      <c r="F51" s="140"/>
      <c r="G51" s="149">
        <f t="shared" si="0"/>
        <v>2</v>
      </c>
      <c r="H51" s="141" t="s">
        <v>1618</v>
      </c>
      <c r="I51" s="4"/>
      <c r="J51" s="4"/>
      <c r="K51" s="4"/>
      <c r="L51" s="4"/>
      <c r="M51" s="4"/>
      <c r="N51" s="4"/>
      <c r="O51" s="4"/>
      <c r="P51" s="4"/>
      <c r="Q51" s="4"/>
    </row>
    <row r="52" spans="1:17" ht="104" x14ac:dyDescent="0.2">
      <c r="A52" s="138">
        <v>3</v>
      </c>
      <c r="B52" s="147" t="s">
        <v>1619</v>
      </c>
      <c r="C52" s="148">
        <v>1</v>
      </c>
      <c r="D52" s="139" t="s">
        <v>1620</v>
      </c>
      <c r="E52" s="139" t="s">
        <v>1621</v>
      </c>
      <c r="F52" s="140"/>
      <c r="G52" s="149">
        <f t="shared" si="0"/>
        <v>1</v>
      </c>
      <c r="H52" s="141" t="s">
        <v>1622</v>
      </c>
      <c r="I52" s="4"/>
      <c r="J52" s="4"/>
      <c r="K52" s="4"/>
      <c r="L52" s="4"/>
      <c r="M52" s="4"/>
      <c r="N52" s="4"/>
      <c r="O52" s="4"/>
      <c r="P52" s="4"/>
      <c r="Q52" s="4"/>
    </row>
    <row r="53" spans="1:17" ht="65" x14ac:dyDescent="0.2">
      <c r="A53" s="138">
        <v>4</v>
      </c>
      <c r="B53" s="147" t="s">
        <v>1623</v>
      </c>
      <c r="C53" s="148"/>
      <c r="D53" s="139" t="s">
        <v>1624</v>
      </c>
      <c r="E53" s="139" t="s">
        <v>1625</v>
      </c>
      <c r="F53" s="140"/>
      <c r="G53" s="149" t="str">
        <f t="shared" si="0"/>
        <v/>
      </c>
      <c r="H53" s="141" t="s">
        <v>1626</v>
      </c>
      <c r="I53" s="4"/>
      <c r="J53" s="4"/>
      <c r="K53" s="4"/>
      <c r="L53" s="4"/>
      <c r="M53" s="4"/>
      <c r="N53" s="4"/>
      <c r="O53" s="4"/>
      <c r="P53" s="4"/>
      <c r="Q53" s="4"/>
    </row>
    <row r="54" spans="1:17" ht="104" x14ac:dyDescent="0.2">
      <c r="A54" s="138">
        <v>5</v>
      </c>
      <c r="B54" s="147" t="s">
        <v>1627</v>
      </c>
      <c r="C54" s="150"/>
      <c r="D54" s="139" t="s">
        <v>1628</v>
      </c>
      <c r="E54" s="139" t="s">
        <v>1629</v>
      </c>
      <c r="F54" s="140"/>
      <c r="G54" s="149" t="str">
        <f t="shared" si="0"/>
        <v/>
      </c>
      <c r="H54" s="141" t="s">
        <v>1630</v>
      </c>
      <c r="I54" s="4"/>
      <c r="J54" s="4"/>
      <c r="K54" s="4"/>
      <c r="L54" s="4"/>
      <c r="M54" s="4"/>
      <c r="N54" s="4"/>
      <c r="O54" s="4"/>
      <c r="P54" s="4"/>
      <c r="Q54" s="4"/>
    </row>
    <row r="55" spans="1:17" ht="52" x14ac:dyDescent="0.2">
      <c r="A55" s="138">
        <v>6</v>
      </c>
      <c r="B55" s="147" t="s">
        <v>1631</v>
      </c>
      <c r="C55" s="150">
        <v>1</v>
      </c>
      <c r="D55" s="139" t="s">
        <v>1632</v>
      </c>
      <c r="E55" s="139" t="s">
        <v>1633</v>
      </c>
      <c r="F55" s="140"/>
      <c r="G55" s="149">
        <f t="shared" si="0"/>
        <v>1</v>
      </c>
      <c r="H55" s="141" t="s">
        <v>1634</v>
      </c>
      <c r="I55" s="4"/>
      <c r="J55" s="4"/>
      <c r="K55" s="4"/>
      <c r="L55" s="4"/>
      <c r="M55" s="4"/>
      <c r="N55" s="4"/>
      <c r="O55" s="4"/>
      <c r="P55" s="4"/>
      <c r="Q55" s="4"/>
    </row>
    <row r="56" spans="1:17" ht="91" x14ac:dyDescent="0.2">
      <c r="A56" s="138">
        <v>7</v>
      </c>
      <c r="B56" s="147" t="s">
        <v>1635</v>
      </c>
      <c r="C56" s="148">
        <v>3</v>
      </c>
      <c r="D56" s="139" t="s">
        <v>1636</v>
      </c>
      <c r="E56" s="139" t="s">
        <v>1637</v>
      </c>
      <c r="F56" s="140"/>
      <c r="G56" s="149">
        <f t="shared" si="0"/>
        <v>3</v>
      </c>
      <c r="H56" s="141" t="s">
        <v>1638</v>
      </c>
      <c r="I56" s="4"/>
      <c r="J56" s="4"/>
      <c r="K56" s="4"/>
      <c r="L56" s="4"/>
      <c r="M56" s="4"/>
      <c r="N56" s="4"/>
      <c r="O56" s="4"/>
      <c r="P56" s="4"/>
      <c r="Q56" s="4"/>
    </row>
    <row r="57" spans="1:17" ht="78" x14ac:dyDescent="0.2">
      <c r="A57" s="138">
        <v>8</v>
      </c>
      <c r="B57" s="147" t="s">
        <v>1639</v>
      </c>
      <c r="C57" s="148">
        <v>3</v>
      </c>
      <c r="D57" s="139" t="s">
        <v>1640</v>
      </c>
      <c r="E57" s="139" t="s">
        <v>1641</v>
      </c>
      <c r="F57" s="140"/>
      <c r="G57" s="149">
        <f t="shared" si="0"/>
        <v>3</v>
      </c>
      <c r="H57" s="141" t="s">
        <v>1642</v>
      </c>
      <c r="I57" s="4"/>
      <c r="J57" s="4"/>
      <c r="K57" s="4"/>
      <c r="L57" s="4"/>
      <c r="M57" s="4"/>
      <c r="N57" s="4"/>
      <c r="O57" s="4"/>
      <c r="P57" s="4"/>
      <c r="Q57" s="4"/>
    </row>
    <row r="58" spans="1:17" ht="91" x14ac:dyDescent="0.2">
      <c r="A58" s="138">
        <v>9</v>
      </c>
      <c r="B58" s="147" t="s">
        <v>1643</v>
      </c>
      <c r="C58" s="148">
        <v>0</v>
      </c>
      <c r="D58" s="139" t="s">
        <v>1644</v>
      </c>
      <c r="E58" s="139" t="s">
        <v>364</v>
      </c>
      <c r="F58" s="140"/>
      <c r="G58" s="149">
        <f t="shared" si="0"/>
        <v>0</v>
      </c>
      <c r="H58" s="141" t="s">
        <v>1645</v>
      </c>
      <c r="I58" s="4"/>
      <c r="J58" s="4"/>
      <c r="K58" s="4"/>
      <c r="L58" s="4"/>
      <c r="M58" s="4"/>
      <c r="N58" s="4"/>
      <c r="O58" s="4"/>
      <c r="P58" s="4"/>
      <c r="Q58" s="4"/>
    </row>
    <row r="59" spans="1:17" ht="66" thickBot="1" x14ac:dyDescent="0.25">
      <c r="A59" s="138">
        <v>10</v>
      </c>
      <c r="B59" s="147" t="s">
        <v>1646</v>
      </c>
      <c r="C59" s="148">
        <v>1</v>
      </c>
      <c r="D59" s="139" t="s">
        <v>1647</v>
      </c>
      <c r="E59" s="139" t="s">
        <v>364</v>
      </c>
      <c r="F59" s="140"/>
      <c r="G59" s="149">
        <f t="shared" si="0"/>
        <v>1</v>
      </c>
      <c r="H59" s="141" t="s">
        <v>1648</v>
      </c>
      <c r="I59" s="4"/>
      <c r="J59" s="4"/>
      <c r="K59" s="4"/>
      <c r="L59" s="4"/>
      <c r="M59" s="4"/>
      <c r="N59" s="4"/>
      <c r="O59" s="4"/>
      <c r="P59" s="4"/>
      <c r="Q59" s="4"/>
    </row>
    <row r="60" spans="1:17" ht="17" thickTop="1" x14ac:dyDescent="0.2">
      <c r="A60" s="151"/>
      <c r="B60" s="152" t="s">
        <v>1649</v>
      </c>
      <c r="C60" s="153">
        <f>SUM(C50:C59)</f>
        <v>12</v>
      </c>
      <c r="D60" s="152"/>
      <c r="E60" s="152"/>
      <c r="F60" s="154">
        <f>SUM(F50:F59)</f>
        <v>0</v>
      </c>
      <c r="G60" s="155">
        <f>$C$60-$F$60</f>
        <v>12</v>
      </c>
      <c r="H60" s="156"/>
      <c r="I60" s="4"/>
      <c r="J60" s="4"/>
      <c r="K60" s="4"/>
      <c r="L60" s="4"/>
      <c r="M60" s="4"/>
      <c r="N60" s="4"/>
      <c r="O60" s="4"/>
      <c r="P60" s="4"/>
      <c r="Q60" s="4"/>
    </row>
  </sheetData>
  <mergeCells count="3">
    <mergeCell ref="A1:Q1"/>
    <mergeCell ref="A2:Q2"/>
    <mergeCell ref="A48:Q48"/>
  </mergeCells>
  <conditionalFormatting sqref="G50:G59">
    <cfRule type="cellIs" dxfId="115" priority="9" operator="lessThan">
      <formula>0</formula>
    </cfRule>
  </conditionalFormatting>
  <conditionalFormatting sqref="K7:K45">
    <cfRule type="containsText" dxfId="114" priority="4" operator="containsText" text="No">
      <formula>NOT(ISERROR(SEARCH("No",K7)))</formula>
    </cfRule>
    <cfRule type="containsText" dxfId="113" priority="5" operator="containsText" text="Yes">
      <formula>NOT(ISERROR(SEARCH("Yes",K7)))</formula>
    </cfRule>
  </conditionalFormatting>
  <conditionalFormatting sqref="L7:L45">
    <cfRule type="containsText" dxfId="112" priority="1" operator="containsText" text="Pass">
      <formula>NOT(ISERROR(SEARCH("Pass",L7)))</formula>
    </cfRule>
    <cfRule type="containsText" dxfId="111" priority="2" operator="containsText" text="Fail">
      <formula>NOT(ISERROR(SEARCH("Fail",L7)))</formula>
    </cfRule>
    <cfRule type="containsText" dxfId="110" priority="3" operator="containsText" text="Pending">
      <formula>NOT(ISERROR(SEARCH("Pending",L7)))</formula>
    </cfRule>
  </conditionalFormatting>
  <conditionalFormatting sqref="O7:O45">
    <cfRule type="containsText" dxfId="109" priority="6" operator="containsText" text="Yes">
      <formula>NOT(ISERROR(SEARCH("Yes",O7)))</formula>
    </cfRule>
  </conditionalFormatting>
  <conditionalFormatting sqref="P7:P45">
    <cfRule type="containsText" dxfId="108" priority="7" operator="containsText" text="Closed">
      <formula>NOT(ISERROR(SEARCH("Closed",P7)))</formula>
    </cfRule>
    <cfRule type="containsText" dxfId="107" priority="8" operator="containsText" text="Open">
      <formula>NOT(ISERROR(SEARCH("Open",P7)))</formula>
    </cfRule>
  </conditionalFormatting>
  <dataValidations count="4">
    <dataValidation type="list" allowBlank="1" showInputMessage="1" showErrorMessage="1" sqref="K7:K45" xr:uid="{4170BD06-B46A-274B-B483-93E9EDDC6113}">
      <formula1>"Yes,No,N/A"</formula1>
    </dataValidation>
    <dataValidation type="list" allowBlank="1" showInputMessage="1" showErrorMessage="1" sqref="L7:L45" xr:uid="{A1C1B983-70C5-4D4F-95CF-6701E126CE60}">
      <formula1>"Pass,Fail,Pending,N/A"</formula1>
    </dataValidation>
    <dataValidation type="list" allowBlank="1" showInputMessage="1" showErrorMessage="1" sqref="O7:O45" xr:uid="{E48C7725-F342-1E45-BD1A-541A3A1FABF4}">
      <formula1>"Yes,No"</formula1>
    </dataValidation>
    <dataValidation type="list" allowBlank="1" showInputMessage="1" showErrorMessage="1" sqref="P7:P45" xr:uid="{4F11BD30-94D4-B64E-A583-AC4A580B6F65}">
      <formula1>"Open,Scheduled,Report Pending,Closed,N/A"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E0D70-3DC6-DA45-A7DB-8C206A78962E}">
  <dimension ref="A1:N120"/>
  <sheetViews>
    <sheetView workbookViewId="0">
      <pane ySplit="4" topLeftCell="A5" activePane="bottomLeft" state="frozen"/>
      <selection pane="bottomLeft" sqref="A1:N1"/>
    </sheetView>
  </sheetViews>
  <sheetFormatPr baseColWidth="10" defaultColWidth="11" defaultRowHeight="16" x14ac:dyDescent="0.2"/>
  <cols>
    <col min="1" max="1" width="14" style="3" customWidth="1"/>
    <col min="2" max="3" width="12.33203125" style="3" customWidth="1"/>
    <col min="4" max="5" width="28.33203125" style="3" customWidth="1"/>
    <col min="6" max="6" width="18.33203125" style="3" customWidth="1"/>
    <col min="7" max="7" width="30" style="3" customWidth="1"/>
    <col min="8" max="8" width="26.6640625" style="3" customWidth="1"/>
    <col min="9" max="9" width="23.33203125" style="3" customWidth="1"/>
    <col min="10" max="10" width="13.33203125" style="3" customWidth="1"/>
    <col min="11" max="11" width="20" style="3" customWidth="1"/>
    <col min="12" max="12" width="14.6640625" style="3" customWidth="1"/>
    <col min="13" max="13" width="15.83203125" style="3" customWidth="1"/>
    <col min="14" max="14" width="30" style="3" customWidth="1"/>
  </cols>
  <sheetData>
    <row r="1" spans="1:14" ht="26" customHeight="1" x14ac:dyDescent="0.2">
      <c r="A1" s="249" t="s">
        <v>1650</v>
      </c>
      <c r="B1" s="249"/>
      <c r="C1" s="249"/>
      <c r="D1" s="249"/>
      <c r="E1" s="249"/>
      <c r="F1" s="249"/>
      <c r="G1" s="249"/>
      <c r="H1" s="249"/>
      <c r="I1" s="249"/>
      <c r="J1" s="249"/>
      <c r="K1" s="249"/>
      <c r="L1" s="249"/>
      <c r="M1" s="249"/>
      <c r="N1" s="249"/>
    </row>
    <row r="2" spans="1:14" ht="40" customHeight="1" x14ac:dyDescent="0.2">
      <c r="A2" s="269" t="s">
        <v>1651</v>
      </c>
      <c r="B2" s="269"/>
      <c r="C2" s="269"/>
      <c r="D2" s="269"/>
      <c r="E2" s="269"/>
      <c r="F2" s="269"/>
      <c r="G2" s="269"/>
      <c r="H2" s="269"/>
      <c r="I2" s="269"/>
      <c r="J2" s="269"/>
      <c r="K2" s="269"/>
      <c r="L2" s="269"/>
      <c r="M2" s="269"/>
      <c r="N2" s="269"/>
    </row>
    <row r="3" spans="1:14" x14ac:dyDescent="0.2">
      <c r="A3" s="4"/>
      <c r="B3" s="4"/>
      <c r="C3" s="4"/>
      <c r="D3" s="4"/>
      <c r="E3" s="4"/>
      <c r="F3" s="4"/>
      <c r="G3" s="4"/>
      <c r="H3" s="4"/>
      <c r="I3" s="4"/>
      <c r="J3" s="4"/>
      <c r="K3" s="4"/>
      <c r="L3" s="4"/>
      <c r="M3" s="4"/>
      <c r="N3" s="4"/>
    </row>
    <row r="4" spans="1:14" ht="40" customHeight="1" x14ac:dyDescent="0.2">
      <c r="A4" s="48" t="s">
        <v>973</v>
      </c>
      <c r="B4" s="48" t="s">
        <v>1652</v>
      </c>
      <c r="C4" s="48" t="s">
        <v>1653</v>
      </c>
      <c r="D4" s="48" t="s">
        <v>1654</v>
      </c>
      <c r="E4" s="48" t="s">
        <v>1655</v>
      </c>
      <c r="F4" s="48" t="s">
        <v>1424</v>
      </c>
      <c r="G4" s="48" t="s">
        <v>1656</v>
      </c>
      <c r="H4" s="48" t="s">
        <v>1657</v>
      </c>
      <c r="I4" s="48" t="s">
        <v>1658</v>
      </c>
      <c r="J4" s="48" t="s">
        <v>446</v>
      </c>
      <c r="K4" s="48" t="s">
        <v>1659</v>
      </c>
      <c r="L4" s="48" t="s">
        <v>1660</v>
      </c>
      <c r="M4" s="48" t="s">
        <v>1661</v>
      </c>
      <c r="N4" s="48" t="s">
        <v>299</v>
      </c>
    </row>
    <row r="5" spans="1:14" x14ac:dyDescent="0.2">
      <c r="A5" s="157"/>
      <c r="B5" s="158"/>
      <c r="C5" s="158"/>
      <c r="D5" s="159"/>
      <c r="E5" s="159"/>
      <c r="F5" s="159"/>
      <c r="G5" s="159"/>
      <c r="H5" s="159"/>
      <c r="I5" s="159"/>
      <c r="J5" s="160"/>
      <c r="K5" s="160"/>
      <c r="L5" s="160"/>
      <c r="M5" s="160"/>
      <c r="N5" s="161"/>
    </row>
    <row r="6" spans="1:14" x14ac:dyDescent="0.2">
      <c r="A6" s="162"/>
      <c r="B6" s="163"/>
      <c r="C6" s="163"/>
      <c r="D6" s="164"/>
      <c r="E6" s="164"/>
      <c r="F6" s="164"/>
      <c r="G6" s="164"/>
      <c r="H6" s="164"/>
      <c r="I6" s="164"/>
      <c r="J6" s="165"/>
      <c r="K6" s="165"/>
      <c r="L6" s="165"/>
      <c r="M6" s="165"/>
      <c r="N6" s="166"/>
    </row>
    <row r="7" spans="1:14" x14ac:dyDescent="0.2">
      <c r="A7" s="162"/>
      <c r="B7" s="163"/>
      <c r="C7" s="163"/>
      <c r="D7" s="164"/>
      <c r="E7" s="164"/>
      <c r="F7" s="164"/>
      <c r="G7" s="164"/>
      <c r="H7" s="164"/>
      <c r="I7" s="164"/>
      <c r="J7" s="165"/>
      <c r="K7" s="165"/>
      <c r="L7" s="165"/>
      <c r="M7" s="165"/>
      <c r="N7" s="166"/>
    </row>
    <row r="8" spans="1:14" x14ac:dyDescent="0.2">
      <c r="A8" s="162"/>
      <c r="B8" s="163"/>
      <c r="C8" s="163"/>
      <c r="D8" s="164"/>
      <c r="E8" s="164"/>
      <c r="F8" s="164"/>
      <c r="G8" s="164"/>
      <c r="H8" s="164"/>
      <c r="I8" s="164"/>
      <c r="J8" s="165"/>
      <c r="K8" s="165"/>
      <c r="L8" s="165"/>
      <c r="M8" s="165"/>
      <c r="N8" s="166"/>
    </row>
    <row r="9" spans="1:14" x14ac:dyDescent="0.2">
      <c r="A9" s="162"/>
      <c r="B9" s="163"/>
      <c r="C9" s="163"/>
      <c r="D9" s="164"/>
      <c r="E9" s="164"/>
      <c r="F9" s="164"/>
      <c r="G9" s="164"/>
      <c r="H9" s="164"/>
      <c r="I9" s="164"/>
      <c r="J9" s="165"/>
      <c r="K9" s="165"/>
      <c r="L9" s="165"/>
      <c r="M9" s="165"/>
      <c r="N9" s="166"/>
    </row>
    <row r="10" spans="1:14" x14ac:dyDescent="0.2">
      <c r="A10" s="162"/>
      <c r="B10" s="163"/>
      <c r="C10" s="163"/>
      <c r="D10" s="164"/>
      <c r="E10" s="164"/>
      <c r="F10" s="164"/>
      <c r="G10" s="164"/>
      <c r="H10" s="164"/>
      <c r="I10" s="164"/>
      <c r="J10" s="165"/>
      <c r="K10" s="165"/>
      <c r="L10" s="165"/>
      <c r="M10" s="165"/>
      <c r="N10" s="166"/>
    </row>
    <row r="11" spans="1:14" x14ac:dyDescent="0.2">
      <c r="A11" s="162"/>
      <c r="B11" s="163"/>
      <c r="C11" s="163"/>
      <c r="D11" s="164"/>
      <c r="E11" s="164"/>
      <c r="F11" s="164"/>
      <c r="G11" s="164"/>
      <c r="H11" s="164"/>
      <c r="I11" s="164"/>
      <c r="J11" s="165"/>
      <c r="K11" s="165"/>
      <c r="L11" s="165"/>
      <c r="M11" s="165"/>
      <c r="N11" s="166"/>
    </row>
    <row r="12" spans="1:14" x14ac:dyDescent="0.2">
      <c r="A12" s="162"/>
      <c r="B12" s="163"/>
      <c r="C12" s="163"/>
      <c r="D12" s="164"/>
      <c r="E12" s="164"/>
      <c r="F12" s="164"/>
      <c r="G12" s="164"/>
      <c r="H12" s="164"/>
      <c r="I12" s="164"/>
      <c r="J12" s="165"/>
      <c r="K12" s="165"/>
      <c r="L12" s="165"/>
      <c r="M12" s="165"/>
      <c r="N12" s="166"/>
    </row>
    <row r="13" spans="1:14" x14ac:dyDescent="0.2">
      <c r="A13" s="162"/>
      <c r="B13" s="163"/>
      <c r="C13" s="163"/>
      <c r="D13" s="164"/>
      <c r="E13" s="164"/>
      <c r="F13" s="164"/>
      <c r="G13" s="164"/>
      <c r="H13" s="164"/>
      <c r="I13" s="164"/>
      <c r="J13" s="165"/>
      <c r="K13" s="165"/>
      <c r="L13" s="165"/>
      <c r="M13" s="165"/>
      <c r="N13" s="166"/>
    </row>
    <row r="14" spans="1:14" x14ac:dyDescent="0.2">
      <c r="A14" s="162"/>
      <c r="B14" s="163"/>
      <c r="C14" s="163"/>
      <c r="D14" s="164"/>
      <c r="E14" s="164"/>
      <c r="F14" s="164"/>
      <c r="G14" s="164"/>
      <c r="H14" s="164"/>
      <c r="I14" s="164"/>
      <c r="J14" s="165"/>
      <c r="K14" s="165"/>
      <c r="L14" s="165"/>
      <c r="M14" s="165"/>
      <c r="N14" s="166"/>
    </row>
    <row r="15" spans="1:14" x14ac:dyDescent="0.2">
      <c r="A15" s="162"/>
      <c r="B15" s="163"/>
      <c r="C15" s="163"/>
      <c r="D15" s="164"/>
      <c r="E15" s="164"/>
      <c r="F15" s="164"/>
      <c r="G15" s="164"/>
      <c r="H15" s="164"/>
      <c r="I15" s="164"/>
      <c r="J15" s="165"/>
      <c r="K15" s="165"/>
      <c r="L15" s="165"/>
      <c r="M15" s="165"/>
      <c r="N15" s="166"/>
    </row>
    <row r="16" spans="1:14" x14ac:dyDescent="0.2">
      <c r="A16" s="162"/>
      <c r="B16" s="163"/>
      <c r="C16" s="163"/>
      <c r="D16" s="164"/>
      <c r="E16" s="164"/>
      <c r="F16" s="164"/>
      <c r="G16" s="164"/>
      <c r="H16" s="164"/>
      <c r="I16" s="164"/>
      <c r="J16" s="165"/>
      <c r="K16" s="165"/>
      <c r="L16" s="165"/>
      <c r="M16" s="165"/>
      <c r="N16" s="166"/>
    </row>
    <row r="17" spans="1:14" x14ac:dyDescent="0.2">
      <c r="A17" s="162"/>
      <c r="B17" s="163"/>
      <c r="C17" s="163"/>
      <c r="D17" s="164"/>
      <c r="E17" s="164"/>
      <c r="F17" s="164"/>
      <c r="G17" s="164"/>
      <c r="H17" s="164"/>
      <c r="I17" s="164"/>
      <c r="J17" s="165"/>
      <c r="K17" s="165"/>
      <c r="L17" s="165"/>
      <c r="M17" s="165"/>
      <c r="N17" s="166"/>
    </row>
    <row r="18" spans="1:14" x14ac:dyDescent="0.2">
      <c r="A18" s="162"/>
      <c r="B18" s="163"/>
      <c r="C18" s="163"/>
      <c r="D18" s="164"/>
      <c r="E18" s="164"/>
      <c r="F18" s="164"/>
      <c r="G18" s="164"/>
      <c r="H18" s="164"/>
      <c r="I18" s="164"/>
      <c r="J18" s="165"/>
      <c r="K18" s="165"/>
      <c r="L18" s="165"/>
      <c r="M18" s="165"/>
      <c r="N18" s="166"/>
    </row>
    <row r="19" spans="1:14" x14ac:dyDescent="0.2">
      <c r="A19" s="162"/>
      <c r="B19" s="163"/>
      <c r="C19" s="163"/>
      <c r="D19" s="164"/>
      <c r="E19" s="164"/>
      <c r="F19" s="164"/>
      <c r="G19" s="164"/>
      <c r="H19" s="164"/>
      <c r="I19" s="164"/>
      <c r="J19" s="165"/>
      <c r="K19" s="165"/>
      <c r="L19" s="165"/>
      <c r="M19" s="165"/>
      <c r="N19" s="166"/>
    </row>
    <row r="20" spans="1:14" x14ac:dyDescent="0.2">
      <c r="A20" s="162"/>
      <c r="B20" s="163"/>
      <c r="C20" s="163"/>
      <c r="D20" s="164"/>
      <c r="E20" s="164"/>
      <c r="F20" s="164"/>
      <c r="G20" s="164"/>
      <c r="H20" s="164"/>
      <c r="I20" s="164"/>
      <c r="J20" s="165"/>
      <c r="K20" s="165"/>
      <c r="L20" s="165"/>
      <c r="M20" s="165"/>
      <c r="N20" s="166"/>
    </row>
    <row r="21" spans="1:14" x14ac:dyDescent="0.2">
      <c r="A21" s="162"/>
      <c r="B21" s="163"/>
      <c r="C21" s="163"/>
      <c r="D21" s="164"/>
      <c r="E21" s="164"/>
      <c r="F21" s="164"/>
      <c r="G21" s="164"/>
      <c r="H21" s="164"/>
      <c r="I21" s="164"/>
      <c r="J21" s="165"/>
      <c r="K21" s="165"/>
      <c r="L21" s="165"/>
      <c r="M21" s="165"/>
      <c r="N21" s="166"/>
    </row>
    <row r="22" spans="1:14" x14ac:dyDescent="0.2">
      <c r="A22" s="162"/>
      <c r="B22" s="163"/>
      <c r="C22" s="163"/>
      <c r="D22" s="164"/>
      <c r="E22" s="164"/>
      <c r="F22" s="164"/>
      <c r="G22" s="164"/>
      <c r="H22" s="164"/>
      <c r="I22" s="164"/>
      <c r="J22" s="165"/>
      <c r="K22" s="165"/>
      <c r="L22" s="165"/>
      <c r="M22" s="165"/>
      <c r="N22" s="166"/>
    </row>
    <row r="23" spans="1:14" x14ac:dyDescent="0.2">
      <c r="A23" s="162"/>
      <c r="B23" s="163"/>
      <c r="C23" s="163"/>
      <c r="D23" s="164"/>
      <c r="E23" s="164"/>
      <c r="F23" s="164"/>
      <c r="G23" s="164"/>
      <c r="H23" s="164"/>
      <c r="I23" s="164"/>
      <c r="J23" s="165"/>
      <c r="K23" s="165"/>
      <c r="L23" s="165"/>
      <c r="M23" s="165"/>
      <c r="N23" s="166"/>
    </row>
    <row r="24" spans="1:14" x14ac:dyDescent="0.2">
      <c r="A24" s="162"/>
      <c r="B24" s="163"/>
      <c r="C24" s="163"/>
      <c r="D24" s="164"/>
      <c r="E24" s="164"/>
      <c r="F24" s="164"/>
      <c r="G24" s="164"/>
      <c r="H24" s="164"/>
      <c r="I24" s="164"/>
      <c r="J24" s="165"/>
      <c r="K24" s="165"/>
      <c r="L24" s="165"/>
      <c r="M24" s="165"/>
      <c r="N24" s="166"/>
    </row>
    <row r="25" spans="1:14" x14ac:dyDescent="0.2">
      <c r="A25" s="162"/>
      <c r="B25" s="163"/>
      <c r="C25" s="163"/>
      <c r="D25" s="164"/>
      <c r="E25" s="164"/>
      <c r="F25" s="164"/>
      <c r="G25" s="164"/>
      <c r="H25" s="164"/>
      <c r="I25" s="164"/>
      <c r="J25" s="165"/>
      <c r="K25" s="165"/>
      <c r="L25" s="165"/>
      <c r="M25" s="165"/>
      <c r="N25" s="166"/>
    </row>
    <row r="26" spans="1:14" x14ac:dyDescent="0.2">
      <c r="A26" s="162"/>
      <c r="B26" s="163"/>
      <c r="C26" s="163"/>
      <c r="D26" s="164"/>
      <c r="E26" s="164"/>
      <c r="F26" s="164"/>
      <c r="G26" s="164"/>
      <c r="H26" s="164"/>
      <c r="I26" s="164"/>
      <c r="J26" s="165"/>
      <c r="K26" s="165"/>
      <c r="L26" s="165"/>
      <c r="M26" s="165"/>
      <c r="N26" s="166"/>
    </row>
    <row r="27" spans="1:14" x14ac:dyDescent="0.2">
      <c r="A27" s="162"/>
      <c r="B27" s="163"/>
      <c r="C27" s="163"/>
      <c r="D27" s="164"/>
      <c r="E27" s="164"/>
      <c r="F27" s="164"/>
      <c r="G27" s="164"/>
      <c r="H27" s="164"/>
      <c r="I27" s="164"/>
      <c r="J27" s="165"/>
      <c r="K27" s="165"/>
      <c r="L27" s="165"/>
      <c r="M27" s="165"/>
      <c r="N27" s="166"/>
    </row>
    <row r="28" spans="1:14" x14ac:dyDescent="0.2">
      <c r="A28" s="162"/>
      <c r="B28" s="163"/>
      <c r="C28" s="163"/>
      <c r="D28" s="164"/>
      <c r="E28" s="164"/>
      <c r="F28" s="164"/>
      <c r="G28" s="164"/>
      <c r="H28" s="164"/>
      <c r="I28" s="164"/>
      <c r="J28" s="165"/>
      <c r="K28" s="165"/>
      <c r="L28" s="165"/>
      <c r="M28" s="165"/>
      <c r="N28" s="166"/>
    </row>
    <row r="29" spans="1:14" x14ac:dyDescent="0.2">
      <c r="A29" s="162"/>
      <c r="B29" s="163"/>
      <c r="C29" s="163"/>
      <c r="D29" s="164"/>
      <c r="E29" s="164"/>
      <c r="F29" s="164"/>
      <c r="G29" s="164"/>
      <c r="H29" s="164"/>
      <c r="I29" s="164"/>
      <c r="J29" s="165"/>
      <c r="K29" s="165"/>
      <c r="L29" s="165"/>
      <c r="M29" s="165"/>
      <c r="N29" s="166"/>
    </row>
    <row r="30" spans="1:14" x14ac:dyDescent="0.2">
      <c r="A30" s="162"/>
      <c r="B30" s="163"/>
      <c r="C30" s="163"/>
      <c r="D30" s="164"/>
      <c r="E30" s="164"/>
      <c r="F30" s="164"/>
      <c r="G30" s="164"/>
      <c r="H30" s="164"/>
      <c r="I30" s="164"/>
      <c r="J30" s="165"/>
      <c r="K30" s="165"/>
      <c r="L30" s="165"/>
      <c r="M30" s="165"/>
      <c r="N30" s="166"/>
    </row>
    <row r="31" spans="1:14" x14ac:dyDescent="0.2">
      <c r="A31" s="162"/>
      <c r="B31" s="163"/>
      <c r="C31" s="163"/>
      <c r="D31" s="164"/>
      <c r="E31" s="164"/>
      <c r="F31" s="164"/>
      <c r="G31" s="164"/>
      <c r="H31" s="164"/>
      <c r="I31" s="164"/>
      <c r="J31" s="165"/>
      <c r="K31" s="165"/>
      <c r="L31" s="165"/>
      <c r="M31" s="165"/>
      <c r="N31" s="166"/>
    </row>
    <row r="32" spans="1:14" x14ac:dyDescent="0.2">
      <c r="A32" s="162"/>
      <c r="B32" s="163"/>
      <c r="C32" s="163"/>
      <c r="D32" s="164"/>
      <c r="E32" s="164"/>
      <c r="F32" s="164"/>
      <c r="G32" s="164"/>
      <c r="H32" s="164"/>
      <c r="I32" s="164"/>
      <c r="J32" s="165"/>
      <c r="K32" s="165"/>
      <c r="L32" s="165"/>
      <c r="M32" s="165"/>
      <c r="N32" s="166"/>
    </row>
    <row r="33" spans="1:14" x14ac:dyDescent="0.2">
      <c r="A33" s="162"/>
      <c r="B33" s="163"/>
      <c r="C33" s="163"/>
      <c r="D33" s="164"/>
      <c r="E33" s="164"/>
      <c r="F33" s="164"/>
      <c r="G33" s="164"/>
      <c r="H33" s="164"/>
      <c r="I33" s="164"/>
      <c r="J33" s="165"/>
      <c r="K33" s="165"/>
      <c r="L33" s="165"/>
      <c r="M33" s="165"/>
      <c r="N33" s="166"/>
    </row>
    <row r="34" spans="1:14" x14ac:dyDescent="0.2">
      <c r="A34" s="162"/>
      <c r="B34" s="163"/>
      <c r="C34" s="163"/>
      <c r="D34" s="164"/>
      <c r="E34" s="164"/>
      <c r="F34" s="164"/>
      <c r="G34" s="164"/>
      <c r="H34" s="164"/>
      <c r="I34" s="164"/>
      <c r="J34" s="165"/>
      <c r="K34" s="165"/>
      <c r="L34" s="165"/>
      <c r="M34" s="165"/>
      <c r="N34" s="166"/>
    </row>
    <row r="35" spans="1:14" x14ac:dyDescent="0.2">
      <c r="A35" s="162"/>
      <c r="B35" s="163"/>
      <c r="C35" s="163"/>
      <c r="D35" s="164"/>
      <c r="E35" s="164"/>
      <c r="F35" s="164"/>
      <c r="G35" s="164"/>
      <c r="H35" s="164"/>
      <c r="I35" s="164"/>
      <c r="J35" s="165"/>
      <c r="K35" s="165"/>
      <c r="L35" s="165"/>
      <c r="M35" s="165"/>
      <c r="N35" s="166"/>
    </row>
    <row r="36" spans="1:14" x14ac:dyDescent="0.2">
      <c r="A36" s="162"/>
      <c r="B36" s="163"/>
      <c r="C36" s="163"/>
      <c r="D36" s="164"/>
      <c r="E36" s="164"/>
      <c r="F36" s="164"/>
      <c r="G36" s="164"/>
      <c r="H36" s="164"/>
      <c r="I36" s="164"/>
      <c r="J36" s="165"/>
      <c r="K36" s="165"/>
      <c r="L36" s="165"/>
      <c r="M36" s="165"/>
      <c r="N36" s="166"/>
    </row>
    <row r="37" spans="1:14" x14ac:dyDescent="0.2">
      <c r="A37" s="162"/>
      <c r="B37" s="163"/>
      <c r="C37" s="163"/>
      <c r="D37" s="164"/>
      <c r="E37" s="164"/>
      <c r="F37" s="164"/>
      <c r="G37" s="164"/>
      <c r="H37" s="164"/>
      <c r="I37" s="164"/>
      <c r="J37" s="165"/>
      <c r="K37" s="165"/>
      <c r="L37" s="165"/>
      <c r="M37" s="165"/>
      <c r="N37" s="166"/>
    </row>
    <row r="38" spans="1:14" x14ac:dyDescent="0.2">
      <c r="A38" s="162"/>
      <c r="B38" s="163"/>
      <c r="C38" s="163"/>
      <c r="D38" s="164"/>
      <c r="E38" s="164"/>
      <c r="F38" s="164"/>
      <c r="G38" s="164"/>
      <c r="H38" s="164"/>
      <c r="I38" s="164"/>
      <c r="J38" s="165"/>
      <c r="K38" s="165"/>
      <c r="L38" s="165"/>
      <c r="M38" s="165"/>
      <c r="N38" s="166"/>
    </row>
    <row r="39" spans="1:14" x14ac:dyDescent="0.2">
      <c r="A39" s="162"/>
      <c r="B39" s="163"/>
      <c r="C39" s="163"/>
      <c r="D39" s="164"/>
      <c r="E39" s="164"/>
      <c r="F39" s="164"/>
      <c r="G39" s="164"/>
      <c r="H39" s="164"/>
      <c r="I39" s="164"/>
      <c r="J39" s="165"/>
      <c r="K39" s="165"/>
      <c r="L39" s="165"/>
      <c r="M39" s="165"/>
      <c r="N39" s="166"/>
    </row>
    <row r="40" spans="1:14" x14ac:dyDescent="0.2">
      <c r="A40" s="162"/>
      <c r="B40" s="163"/>
      <c r="C40" s="163"/>
      <c r="D40" s="164"/>
      <c r="E40" s="164"/>
      <c r="F40" s="164"/>
      <c r="G40" s="164"/>
      <c r="H40" s="164"/>
      <c r="I40" s="164"/>
      <c r="J40" s="165"/>
      <c r="K40" s="165"/>
      <c r="L40" s="165"/>
      <c r="M40" s="165"/>
      <c r="N40" s="166"/>
    </row>
    <row r="41" spans="1:14" x14ac:dyDescent="0.2">
      <c r="A41" s="162"/>
      <c r="B41" s="163"/>
      <c r="C41" s="163"/>
      <c r="D41" s="164"/>
      <c r="E41" s="164"/>
      <c r="F41" s="164"/>
      <c r="G41" s="164"/>
      <c r="H41" s="164"/>
      <c r="I41" s="164"/>
      <c r="J41" s="165"/>
      <c r="K41" s="165"/>
      <c r="L41" s="165"/>
      <c r="M41" s="165"/>
      <c r="N41" s="166"/>
    </row>
    <row r="42" spans="1:14" x14ac:dyDescent="0.2">
      <c r="A42" s="162"/>
      <c r="B42" s="163"/>
      <c r="C42" s="163"/>
      <c r="D42" s="164"/>
      <c r="E42" s="164"/>
      <c r="F42" s="164"/>
      <c r="G42" s="164"/>
      <c r="H42" s="164"/>
      <c r="I42" s="164"/>
      <c r="J42" s="165"/>
      <c r="K42" s="165"/>
      <c r="L42" s="165"/>
      <c r="M42" s="165"/>
      <c r="N42" s="166"/>
    </row>
    <row r="43" spans="1:14" x14ac:dyDescent="0.2">
      <c r="A43" s="162"/>
      <c r="B43" s="163"/>
      <c r="C43" s="163"/>
      <c r="D43" s="164"/>
      <c r="E43" s="164"/>
      <c r="F43" s="164"/>
      <c r="G43" s="164"/>
      <c r="H43" s="164"/>
      <c r="I43" s="164"/>
      <c r="J43" s="165"/>
      <c r="K43" s="165"/>
      <c r="L43" s="165"/>
      <c r="M43" s="165"/>
      <c r="N43" s="166"/>
    </row>
    <row r="44" spans="1:14" x14ac:dyDescent="0.2">
      <c r="A44" s="162"/>
      <c r="B44" s="163"/>
      <c r="C44" s="163"/>
      <c r="D44" s="164"/>
      <c r="E44" s="164"/>
      <c r="F44" s="164"/>
      <c r="G44" s="164"/>
      <c r="H44" s="164"/>
      <c r="I44" s="164"/>
      <c r="J44" s="165"/>
      <c r="K44" s="165"/>
      <c r="L44" s="165"/>
      <c r="M44" s="165"/>
      <c r="N44" s="166"/>
    </row>
    <row r="45" spans="1:14" x14ac:dyDescent="0.2">
      <c r="A45" s="162"/>
      <c r="B45" s="163"/>
      <c r="C45" s="163"/>
      <c r="D45" s="164"/>
      <c r="E45" s="164"/>
      <c r="F45" s="164"/>
      <c r="G45" s="164"/>
      <c r="H45" s="164"/>
      <c r="I45" s="164"/>
      <c r="J45" s="165"/>
      <c r="K45" s="165"/>
      <c r="L45" s="165"/>
      <c r="M45" s="165"/>
      <c r="N45" s="166"/>
    </row>
    <row r="46" spans="1:14" x14ac:dyDescent="0.2">
      <c r="A46" s="162"/>
      <c r="B46" s="163"/>
      <c r="C46" s="163"/>
      <c r="D46" s="164"/>
      <c r="E46" s="164"/>
      <c r="F46" s="164"/>
      <c r="G46" s="164"/>
      <c r="H46" s="164"/>
      <c r="I46" s="164"/>
      <c r="J46" s="165"/>
      <c r="K46" s="165"/>
      <c r="L46" s="165"/>
      <c r="M46" s="165"/>
      <c r="N46" s="166"/>
    </row>
    <row r="47" spans="1:14" x14ac:dyDescent="0.2">
      <c r="A47" s="162"/>
      <c r="B47" s="163"/>
      <c r="C47" s="163"/>
      <c r="D47" s="164"/>
      <c r="E47" s="164"/>
      <c r="F47" s="164"/>
      <c r="G47" s="164"/>
      <c r="H47" s="164"/>
      <c r="I47" s="164"/>
      <c r="J47" s="165"/>
      <c r="K47" s="165"/>
      <c r="L47" s="165"/>
      <c r="M47" s="165"/>
      <c r="N47" s="166"/>
    </row>
    <row r="48" spans="1:14" x14ac:dyDescent="0.2">
      <c r="A48" s="162"/>
      <c r="B48" s="163"/>
      <c r="C48" s="163"/>
      <c r="D48" s="164"/>
      <c r="E48" s="164"/>
      <c r="F48" s="164"/>
      <c r="G48" s="164"/>
      <c r="H48" s="164"/>
      <c r="I48" s="164"/>
      <c r="J48" s="165"/>
      <c r="K48" s="165"/>
      <c r="L48" s="165"/>
      <c r="M48" s="165"/>
      <c r="N48" s="166"/>
    </row>
    <row r="49" spans="1:14" x14ac:dyDescent="0.2">
      <c r="A49" s="162"/>
      <c r="B49" s="163"/>
      <c r="C49" s="163"/>
      <c r="D49" s="164"/>
      <c r="E49" s="164"/>
      <c r="F49" s="164"/>
      <c r="G49" s="164"/>
      <c r="H49" s="164"/>
      <c r="I49" s="164"/>
      <c r="J49" s="165"/>
      <c r="K49" s="165"/>
      <c r="L49" s="165"/>
      <c r="M49" s="165"/>
      <c r="N49" s="166"/>
    </row>
    <row r="50" spans="1:14" x14ac:dyDescent="0.2">
      <c r="A50" s="162"/>
      <c r="B50" s="163"/>
      <c r="C50" s="163"/>
      <c r="D50" s="164"/>
      <c r="E50" s="164"/>
      <c r="F50" s="164"/>
      <c r="G50" s="164"/>
      <c r="H50" s="164"/>
      <c r="I50" s="164"/>
      <c r="J50" s="165"/>
      <c r="K50" s="165"/>
      <c r="L50" s="165"/>
      <c r="M50" s="165"/>
      <c r="N50" s="166"/>
    </row>
    <row r="51" spans="1:14" x14ac:dyDescent="0.2">
      <c r="A51" s="162"/>
      <c r="B51" s="163"/>
      <c r="C51" s="163"/>
      <c r="D51" s="164"/>
      <c r="E51" s="164"/>
      <c r="F51" s="164"/>
      <c r="G51" s="164"/>
      <c r="H51" s="164"/>
      <c r="I51" s="164"/>
      <c r="J51" s="165"/>
      <c r="K51" s="165"/>
      <c r="L51" s="165"/>
      <c r="M51" s="165"/>
      <c r="N51" s="166"/>
    </row>
    <row r="52" spans="1:14" x14ac:dyDescent="0.2">
      <c r="A52" s="162"/>
      <c r="B52" s="163"/>
      <c r="C52" s="163"/>
      <c r="D52" s="164"/>
      <c r="E52" s="164"/>
      <c r="F52" s="164"/>
      <c r="G52" s="164"/>
      <c r="H52" s="164"/>
      <c r="I52" s="164"/>
      <c r="J52" s="165"/>
      <c r="K52" s="165"/>
      <c r="L52" s="165"/>
      <c r="M52" s="165"/>
      <c r="N52" s="166"/>
    </row>
    <row r="53" spans="1:14" x14ac:dyDescent="0.2">
      <c r="A53" s="162"/>
      <c r="B53" s="163"/>
      <c r="C53" s="163"/>
      <c r="D53" s="164"/>
      <c r="E53" s="164"/>
      <c r="F53" s="164"/>
      <c r="G53" s="164"/>
      <c r="H53" s="164"/>
      <c r="I53" s="164"/>
      <c r="J53" s="165"/>
      <c r="K53" s="165"/>
      <c r="L53" s="165"/>
      <c r="M53" s="165"/>
      <c r="N53" s="166"/>
    </row>
    <row r="54" spans="1:14" x14ac:dyDescent="0.2">
      <c r="A54" s="162"/>
      <c r="B54" s="163"/>
      <c r="C54" s="163"/>
      <c r="D54" s="164"/>
      <c r="E54" s="164"/>
      <c r="F54" s="164"/>
      <c r="G54" s="164"/>
      <c r="H54" s="164"/>
      <c r="I54" s="164"/>
      <c r="J54" s="165"/>
      <c r="K54" s="165"/>
      <c r="L54" s="165"/>
      <c r="M54" s="165"/>
      <c r="N54" s="166"/>
    </row>
    <row r="55" spans="1:14" x14ac:dyDescent="0.2">
      <c r="A55" s="162"/>
      <c r="B55" s="163"/>
      <c r="C55" s="163"/>
      <c r="D55" s="164"/>
      <c r="E55" s="164"/>
      <c r="F55" s="164"/>
      <c r="G55" s="164"/>
      <c r="H55" s="164"/>
      <c r="I55" s="164"/>
      <c r="J55" s="165"/>
      <c r="K55" s="165"/>
      <c r="L55" s="165"/>
      <c r="M55" s="165"/>
      <c r="N55" s="166"/>
    </row>
    <row r="56" spans="1:14" x14ac:dyDescent="0.2">
      <c r="A56" s="162"/>
      <c r="B56" s="163"/>
      <c r="C56" s="163"/>
      <c r="D56" s="164"/>
      <c r="E56" s="164"/>
      <c r="F56" s="164"/>
      <c r="G56" s="164"/>
      <c r="H56" s="164"/>
      <c r="I56" s="164"/>
      <c r="J56" s="165"/>
      <c r="K56" s="165"/>
      <c r="L56" s="165"/>
      <c r="M56" s="165"/>
      <c r="N56" s="166"/>
    </row>
    <row r="57" spans="1:14" x14ac:dyDescent="0.2">
      <c r="A57" s="162"/>
      <c r="B57" s="163"/>
      <c r="C57" s="163"/>
      <c r="D57" s="164"/>
      <c r="E57" s="164"/>
      <c r="F57" s="164"/>
      <c r="G57" s="164"/>
      <c r="H57" s="164"/>
      <c r="I57" s="164"/>
      <c r="J57" s="165"/>
      <c r="K57" s="165"/>
      <c r="L57" s="165"/>
      <c r="M57" s="165"/>
      <c r="N57" s="166"/>
    </row>
    <row r="58" spans="1:14" x14ac:dyDescent="0.2">
      <c r="A58" s="162"/>
      <c r="B58" s="163"/>
      <c r="C58" s="163"/>
      <c r="D58" s="164"/>
      <c r="E58" s="164"/>
      <c r="F58" s="164"/>
      <c r="G58" s="164"/>
      <c r="H58" s="164"/>
      <c r="I58" s="164"/>
      <c r="J58" s="165"/>
      <c r="K58" s="165"/>
      <c r="L58" s="165"/>
      <c r="M58" s="165"/>
      <c r="N58" s="166"/>
    </row>
    <row r="59" spans="1:14" x14ac:dyDescent="0.2">
      <c r="A59" s="162"/>
      <c r="B59" s="163"/>
      <c r="C59" s="163"/>
      <c r="D59" s="164"/>
      <c r="E59" s="164"/>
      <c r="F59" s="164"/>
      <c r="G59" s="164"/>
      <c r="H59" s="164"/>
      <c r="I59" s="164"/>
      <c r="J59" s="165"/>
      <c r="K59" s="165"/>
      <c r="L59" s="165"/>
      <c r="M59" s="165"/>
      <c r="N59" s="166"/>
    </row>
    <row r="60" spans="1:14" x14ac:dyDescent="0.2">
      <c r="A60" s="162"/>
      <c r="B60" s="163"/>
      <c r="C60" s="163"/>
      <c r="D60" s="164"/>
      <c r="E60" s="164"/>
      <c r="F60" s="164"/>
      <c r="G60" s="164"/>
      <c r="H60" s="164"/>
      <c r="I60" s="164"/>
      <c r="J60" s="165"/>
      <c r="K60" s="165"/>
      <c r="L60" s="165"/>
      <c r="M60" s="165"/>
      <c r="N60" s="166"/>
    </row>
    <row r="61" spans="1:14" x14ac:dyDescent="0.2">
      <c r="A61" s="162"/>
      <c r="B61" s="163"/>
      <c r="C61" s="163"/>
      <c r="D61" s="164"/>
      <c r="E61" s="164"/>
      <c r="F61" s="164"/>
      <c r="G61" s="164"/>
      <c r="H61" s="164"/>
      <c r="I61" s="164"/>
      <c r="J61" s="165"/>
      <c r="K61" s="165"/>
      <c r="L61" s="165"/>
      <c r="M61" s="165"/>
      <c r="N61" s="166"/>
    </row>
    <row r="62" spans="1:14" x14ac:dyDescent="0.2">
      <c r="A62" s="162"/>
      <c r="B62" s="163"/>
      <c r="C62" s="163"/>
      <c r="D62" s="164"/>
      <c r="E62" s="164"/>
      <c r="F62" s="164"/>
      <c r="G62" s="164"/>
      <c r="H62" s="164"/>
      <c r="I62" s="164"/>
      <c r="J62" s="165"/>
      <c r="K62" s="165"/>
      <c r="L62" s="165"/>
      <c r="M62" s="165"/>
      <c r="N62" s="166"/>
    </row>
    <row r="63" spans="1:14" x14ac:dyDescent="0.2">
      <c r="A63" s="162"/>
      <c r="B63" s="163"/>
      <c r="C63" s="163"/>
      <c r="D63" s="164"/>
      <c r="E63" s="164"/>
      <c r="F63" s="164"/>
      <c r="G63" s="164"/>
      <c r="H63" s="164"/>
      <c r="I63" s="164"/>
      <c r="J63" s="165"/>
      <c r="K63" s="165"/>
      <c r="L63" s="165"/>
      <c r="M63" s="165"/>
      <c r="N63" s="166"/>
    </row>
    <row r="64" spans="1:14" x14ac:dyDescent="0.2">
      <c r="A64" s="162"/>
      <c r="B64" s="163"/>
      <c r="C64" s="163"/>
      <c r="D64" s="164"/>
      <c r="E64" s="164"/>
      <c r="F64" s="164"/>
      <c r="G64" s="164"/>
      <c r="H64" s="164"/>
      <c r="I64" s="164"/>
      <c r="J64" s="165"/>
      <c r="K64" s="165"/>
      <c r="L64" s="165"/>
      <c r="M64" s="165"/>
      <c r="N64" s="166"/>
    </row>
    <row r="65" spans="1:14" x14ac:dyDescent="0.2">
      <c r="A65" s="162"/>
      <c r="B65" s="163"/>
      <c r="C65" s="163"/>
      <c r="D65" s="164"/>
      <c r="E65" s="164"/>
      <c r="F65" s="164"/>
      <c r="G65" s="164"/>
      <c r="H65" s="164"/>
      <c r="I65" s="164"/>
      <c r="J65" s="165"/>
      <c r="K65" s="165"/>
      <c r="L65" s="165"/>
      <c r="M65" s="165"/>
      <c r="N65" s="166"/>
    </row>
    <row r="66" spans="1:14" x14ac:dyDescent="0.2">
      <c r="A66" s="162"/>
      <c r="B66" s="163"/>
      <c r="C66" s="163"/>
      <c r="D66" s="164"/>
      <c r="E66" s="164"/>
      <c r="F66" s="164"/>
      <c r="G66" s="164"/>
      <c r="H66" s="164"/>
      <c r="I66" s="164"/>
      <c r="J66" s="165"/>
      <c r="K66" s="165"/>
      <c r="L66" s="165"/>
      <c r="M66" s="165"/>
      <c r="N66" s="166"/>
    </row>
    <row r="67" spans="1:14" x14ac:dyDescent="0.2">
      <c r="A67" s="162"/>
      <c r="B67" s="163"/>
      <c r="C67" s="163"/>
      <c r="D67" s="164"/>
      <c r="E67" s="164"/>
      <c r="F67" s="164"/>
      <c r="G67" s="164"/>
      <c r="H67" s="164"/>
      <c r="I67" s="164"/>
      <c r="J67" s="165"/>
      <c r="K67" s="165"/>
      <c r="L67" s="165"/>
      <c r="M67" s="165"/>
      <c r="N67" s="166"/>
    </row>
    <row r="68" spans="1:14" x14ac:dyDescent="0.2">
      <c r="A68" s="162"/>
      <c r="B68" s="163"/>
      <c r="C68" s="163"/>
      <c r="D68" s="164"/>
      <c r="E68" s="164"/>
      <c r="F68" s="164"/>
      <c r="G68" s="164"/>
      <c r="H68" s="164"/>
      <c r="I68" s="164"/>
      <c r="J68" s="165"/>
      <c r="K68" s="165"/>
      <c r="L68" s="165"/>
      <c r="M68" s="165"/>
      <c r="N68" s="166"/>
    </row>
    <row r="69" spans="1:14" x14ac:dyDescent="0.2">
      <c r="A69" s="162"/>
      <c r="B69" s="163"/>
      <c r="C69" s="163"/>
      <c r="D69" s="164"/>
      <c r="E69" s="164"/>
      <c r="F69" s="164"/>
      <c r="G69" s="164"/>
      <c r="H69" s="164"/>
      <c r="I69" s="164"/>
      <c r="J69" s="165"/>
      <c r="K69" s="165"/>
      <c r="L69" s="165"/>
      <c r="M69" s="165"/>
      <c r="N69" s="166"/>
    </row>
    <row r="70" spans="1:14" x14ac:dyDescent="0.2">
      <c r="A70" s="162"/>
      <c r="B70" s="163"/>
      <c r="C70" s="163"/>
      <c r="D70" s="164"/>
      <c r="E70" s="164"/>
      <c r="F70" s="164"/>
      <c r="G70" s="164"/>
      <c r="H70" s="164"/>
      <c r="I70" s="164"/>
      <c r="J70" s="165"/>
      <c r="K70" s="165"/>
      <c r="L70" s="165"/>
      <c r="M70" s="165"/>
      <c r="N70" s="166"/>
    </row>
    <row r="71" spans="1:14" x14ac:dyDescent="0.2">
      <c r="A71" s="162"/>
      <c r="B71" s="163"/>
      <c r="C71" s="163"/>
      <c r="D71" s="164"/>
      <c r="E71" s="164"/>
      <c r="F71" s="164"/>
      <c r="G71" s="164"/>
      <c r="H71" s="164"/>
      <c r="I71" s="164"/>
      <c r="J71" s="165"/>
      <c r="K71" s="165"/>
      <c r="L71" s="165"/>
      <c r="M71" s="165"/>
      <c r="N71" s="166"/>
    </row>
    <row r="72" spans="1:14" x14ac:dyDescent="0.2">
      <c r="A72" s="162"/>
      <c r="B72" s="163"/>
      <c r="C72" s="163"/>
      <c r="D72" s="164"/>
      <c r="E72" s="164"/>
      <c r="F72" s="164"/>
      <c r="G72" s="164"/>
      <c r="H72" s="164"/>
      <c r="I72" s="164"/>
      <c r="J72" s="165"/>
      <c r="K72" s="165"/>
      <c r="L72" s="165"/>
      <c r="M72" s="165"/>
      <c r="N72" s="166"/>
    </row>
    <row r="73" spans="1:14" x14ac:dyDescent="0.2">
      <c r="A73" s="162"/>
      <c r="B73" s="163"/>
      <c r="C73" s="163"/>
      <c r="D73" s="164"/>
      <c r="E73" s="164"/>
      <c r="F73" s="164"/>
      <c r="G73" s="164"/>
      <c r="H73" s="164"/>
      <c r="I73" s="164"/>
      <c r="J73" s="165"/>
      <c r="K73" s="165"/>
      <c r="L73" s="165"/>
      <c r="M73" s="165"/>
      <c r="N73" s="166"/>
    </row>
    <row r="74" spans="1:14" x14ac:dyDescent="0.2">
      <c r="A74" s="162"/>
      <c r="B74" s="163"/>
      <c r="C74" s="163"/>
      <c r="D74" s="164"/>
      <c r="E74" s="164"/>
      <c r="F74" s="164"/>
      <c r="G74" s="164"/>
      <c r="H74" s="164"/>
      <c r="I74" s="164"/>
      <c r="J74" s="165"/>
      <c r="K74" s="165"/>
      <c r="L74" s="165"/>
      <c r="M74" s="165"/>
      <c r="N74" s="166"/>
    </row>
    <row r="75" spans="1:14" x14ac:dyDescent="0.2">
      <c r="A75" s="162"/>
      <c r="B75" s="163"/>
      <c r="C75" s="163"/>
      <c r="D75" s="164"/>
      <c r="E75" s="164"/>
      <c r="F75" s="164"/>
      <c r="G75" s="164"/>
      <c r="H75" s="164"/>
      <c r="I75" s="164"/>
      <c r="J75" s="165"/>
      <c r="K75" s="165"/>
      <c r="L75" s="165"/>
      <c r="M75" s="165"/>
      <c r="N75" s="166"/>
    </row>
    <row r="76" spans="1:14" x14ac:dyDescent="0.2">
      <c r="A76" s="162"/>
      <c r="B76" s="163"/>
      <c r="C76" s="163"/>
      <c r="D76" s="164"/>
      <c r="E76" s="164"/>
      <c r="F76" s="164"/>
      <c r="G76" s="164"/>
      <c r="H76" s="164"/>
      <c r="I76" s="164"/>
      <c r="J76" s="165"/>
      <c r="K76" s="165"/>
      <c r="L76" s="165"/>
      <c r="M76" s="165"/>
      <c r="N76" s="166"/>
    </row>
    <row r="77" spans="1:14" x14ac:dyDescent="0.2">
      <c r="A77" s="162"/>
      <c r="B77" s="163"/>
      <c r="C77" s="163"/>
      <c r="D77" s="164"/>
      <c r="E77" s="164"/>
      <c r="F77" s="164"/>
      <c r="G77" s="164"/>
      <c r="H77" s="164"/>
      <c r="I77" s="164"/>
      <c r="J77" s="165"/>
      <c r="K77" s="165"/>
      <c r="L77" s="165"/>
      <c r="M77" s="165"/>
      <c r="N77" s="166"/>
    </row>
    <row r="78" spans="1:14" x14ac:dyDescent="0.2">
      <c r="A78" s="162"/>
      <c r="B78" s="163"/>
      <c r="C78" s="163"/>
      <c r="D78" s="164"/>
      <c r="E78" s="164"/>
      <c r="F78" s="164"/>
      <c r="G78" s="164"/>
      <c r="H78" s="164"/>
      <c r="I78" s="164"/>
      <c r="J78" s="165"/>
      <c r="K78" s="165"/>
      <c r="L78" s="165"/>
      <c r="M78" s="165"/>
      <c r="N78" s="166"/>
    </row>
    <row r="79" spans="1:14" x14ac:dyDescent="0.2">
      <c r="A79" s="162"/>
      <c r="B79" s="163"/>
      <c r="C79" s="163"/>
      <c r="D79" s="164"/>
      <c r="E79" s="164"/>
      <c r="F79" s="164"/>
      <c r="G79" s="164"/>
      <c r="H79" s="164"/>
      <c r="I79" s="164"/>
      <c r="J79" s="165"/>
      <c r="K79" s="165"/>
      <c r="L79" s="165"/>
      <c r="M79" s="165"/>
      <c r="N79" s="166"/>
    </row>
    <row r="80" spans="1:14" x14ac:dyDescent="0.2">
      <c r="A80" s="162"/>
      <c r="B80" s="163"/>
      <c r="C80" s="163"/>
      <c r="D80" s="164"/>
      <c r="E80" s="164"/>
      <c r="F80" s="164"/>
      <c r="G80" s="164"/>
      <c r="H80" s="164"/>
      <c r="I80" s="164"/>
      <c r="J80" s="165"/>
      <c r="K80" s="165"/>
      <c r="L80" s="165"/>
      <c r="M80" s="165"/>
      <c r="N80" s="166"/>
    </row>
    <row r="81" spans="1:14" x14ac:dyDescent="0.2">
      <c r="A81" s="162"/>
      <c r="B81" s="163"/>
      <c r="C81" s="163"/>
      <c r="D81" s="164"/>
      <c r="E81" s="164"/>
      <c r="F81" s="164"/>
      <c r="G81" s="164"/>
      <c r="H81" s="164"/>
      <c r="I81" s="164"/>
      <c r="J81" s="165"/>
      <c r="K81" s="165"/>
      <c r="L81" s="165"/>
      <c r="M81" s="165"/>
      <c r="N81" s="166"/>
    </row>
    <row r="82" spans="1:14" x14ac:dyDescent="0.2">
      <c r="A82" s="162"/>
      <c r="B82" s="163"/>
      <c r="C82" s="163"/>
      <c r="D82" s="164"/>
      <c r="E82" s="164"/>
      <c r="F82" s="164"/>
      <c r="G82" s="164"/>
      <c r="H82" s="164"/>
      <c r="I82" s="164"/>
      <c r="J82" s="165"/>
      <c r="K82" s="165"/>
      <c r="L82" s="165"/>
      <c r="M82" s="165"/>
      <c r="N82" s="166"/>
    </row>
    <row r="83" spans="1:14" x14ac:dyDescent="0.2">
      <c r="A83" s="162"/>
      <c r="B83" s="163"/>
      <c r="C83" s="163"/>
      <c r="D83" s="164"/>
      <c r="E83" s="164"/>
      <c r="F83" s="164"/>
      <c r="G83" s="164"/>
      <c r="H83" s="164"/>
      <c r="I83" s="164"/>
      <c r="J83" s="165"/>
      <c r="K83" s="165"/>
      <c r="L83" s="165"/>
      <c r="M83" s="165"/>
      <c r="N83" s="166"/>
    </row>
    <row r="84" spans="1:14" x14ac:dyDescent="0.2">
      <c r="A84" s="162"/>
      <c r="B84" s="163"/>
      <c r="C84" s="163"/>
      <c r="D84" s="164"/>
      <c r="E84" s="164"/>
      <c r="F84" s="164"/>
      <c r="G84" s="164"/>
      <c r="H84" s="164"/>
      <c r="I84" s="164"/>
      <c r="J84" s="165"/>
      <c r="K84" s="165"/>
      <c r="L84" s="165"/>
      <c r="M84" s="165"/>
      <c r="N84" s="166"/>
    </row>
    <row r="85" spans="1:14" x14ac:dyDescent="0.2">
      <c r="A85" s="162"/>
      <c r="B85" s="163"/>
      <c r="C85" s="163"/>
      <c r="D85" s="164"/>
      <c r="E85" s="164"/>
      <c r="F85" s="164"/>
      <c r="G85" s="164"/>
      <c r="H85" s="164"/>
      <c r="I85" s="164"/>
      <c r="J85" s="165"/>
      <c r="K85" s="165"/>
      <c r="L85" s="165"/>
      <c r="M85" s="165"/>
      <c r="N85" s="166"/>
    </row>
    <row r="86" spans="1:14" x14ac:dyDescent="0.2">
      <c r="A86" s="162"/>
      <c r="B86" s="163"/>
      <c r="C86" s="163"/>
      <c r="D86" s="164"/>
      <c r="E86" s="164"/>
      <c r="F86" s="164"/>
      <c r="G86" s="164"/>
      <c r="H86" s="164"/>
      <c r="I86" s="164"/>
      <c r="J86" s="165"/>
      <c r="K86" s="165"/>
      <c r="L86" s="165"/>
      <c r="M86" s="165"/>
      <c r="N86" s="166"/>
    </row>
    <row r="87" spans="1:14" x14ac:dyDescent="0.2">
      <c r="A87" s="162"/>
      <c r="B87" s="163"/>
      <c r="C87" s="163"/>
      <c r="D87" s="164"/>
      <c r="E87" s="164"/>
      <c r="F87" s="164"/>
      <c r="G87" s="164"/>
      <c r="H87" s="164"/>
      <c r="I87" s="164"/>
      <c r="J87" s="165"/>
      <c r="K87" s="165"/>
      <c r="L87" s="165"/>
      <c r="M87" s="165"/>
      <c r="N87" s="166"/>
    </row>
    <row r="88" spans="1:14" x14ac:dyDescent="0.2">
      <c r="A88" s="162"/>
      <c r="B88" s="163"/>
      <c r="C88" s="163"/>
      <c r="D88" s="164"/>
      <c r="E88" s="164"/>
      <c r="F88" s="164"/>
      <c r="G88" s="164"/>
      <c r="H88" s="164"/>
      <c r="I88" s="164"/>
      <c r="J88" s="165"/>
      <c r="K88" s="165"/>
      <c r="L88" s="165"/>
      <c r="M88" s="165"/>
      <c r="N88" s="166"/>
    </row>
    <row r="89" spans="1:14" x14ac:dyDescent="0.2">
      <c r="A89" s="162"/>
      <c r="B89" s="163"/>
      <c r="C89" s="163"/>
      <c r="D89" s="164"/>
      <c r="E89" s="164"/>
      <c r="F89" s="164"/>
      <c r="G89" s="164"/>
      <c r="H89" s="164"/>
      <c r="I89" s="164"/>
      <c r="J89" s="165"/>
      <c r="K89" s="165"/>
      <c r="L89" s="165"/>
      <c r="M89" s="165"/>
      <c r="N89" s="166"/>
    </row>
    <row r="90" spans="1:14" x14ac:dyDescent="0.2">
      <c r="A90" s="162"/>
      <c r="B90" s="163"/>
      <c r="C90" s="163"/>
      <c r="D90" s="164"/>
      <c r="E90" s="164"/>
      <c r="F90" s="164"/>
      <c r="G90" s="164"/>
      <c r="H90" s="164"/>
      <c r="I90" s="164"/>
      <c r="J90" s="165"/>
      <c r="K90" s="165"/>
      <c r="L90" s="165"/>
      <c r="M90" s="165"/>
      <c r="N90" s="166"/>
    </row>
    <row r="91" spans="1:14" x14ac:dyDescent="0.2">
      <c r="A91" s="162"/>
      <c r="B91" s="163"/>
      <c r="C91" s="163"/>
      <c r="D91" s="164"/>
      <c r="E91" s="164"/>
      <c r="F91" s="164"/>
      <c r="G91" s="164"/>
      <c r="H91" s="164"/>
      <c r="I91" s="164"/>
      <c r="J91" s="165"/>
      <c r="K91" s="165"/>
      <c r="L91" s="165"/>
      <c r="M91" s="165"/>
      <c r="N91" s="166"/>
    </row>
    <row r="92" spans="1:14" x14ac:dyDescent="0.2">
      <c r="A92" s="162"/>
      <c r="B92" s="163"/>
      <c r="C92" s="163"/>
      <c r="D92" s="164"/>
      <c r="E92" s="164"/>
      <c r="F92" s="164"/>
      <c r="G92" s="164"/>
      <c r="H92" s="164"/>
      <c r="I92" s="164"/>
      <c r="J92" s="165"/>
      <c r="K92" s="165"/>
      <c r="L92" s="165"/>
      <c r="M92" s="165"/>
      <c r="N92" s="166"/>
    </row>
    <row r="93" spans="1:14" x14ac:dyDescent="0.2">
      <c r="A93" s="162"/>
      <c r="B93" s="163"/>
      <c r="C93" s="163"/>
      <c r="D93" s="164"/>
      <c r="E93" s="164"/>
      <c r="F93" s="164"/>
      <c r="G93" s="164"/>
      <c r="H93" s="164"/>
      <c r="I93" s="164"/>
      <c r="J93" s="165"/>
      <c r="K93" s="165"/>
      <c r="L93" s="165"/>
      <c r="M93" s="165"/>
      <c r="N93" s="166"/>
    </row>
    <row r="94" spans="1:14" x14ac:dyDescent="0.2">
      <c r="A94" s="162"/>
      <c r="B94" s="163"/>
      <c r="C94" s="163"/>
      <c r="D94" s="164"/>
      <c r="E94" s="164"/>
      <c r="F94" s="164"/>
      <c r="G94" s="164"/>
      <c r="H94" s="164"/>
      <c r="I94" s="164"/>
      <c r="J94" s="165"/>
      <c r="K94" s="165"/>
      <c r="L94" s="165"/>
      <c r="M94" s="165"/>
      <c r="N94" s="166"/>
    </row>
    <row r="95" spans="1:14" x14ac:dyDescent="0.2">
      <c r="A95" s="162"/>
      <c r="B95" s="163"/>
      <c r="C95" s="163"/>
      <c r="D95" s="164"/>
      <c r="E95" s="164"/>
      <c r="F95" s="164"/>
      <c r="G95" s="164"/>
      <c r="H95" s="164"/>
      <c r="I95" s="164"/>
      <c r="J95" s="165"/>
      <c r="K95" s="165"/>
      <c r="L95" s="165"/>
      <c r="M95" s="165"/>
      <c r="N95" s="166"/>
    </row>
    <row r="96" spans="1:14" x14ac:dyDescent="0.2">
      <c r="A96" s="162"/>
      <c r="B96" s="163"/>
      <c r="C96" s="163"/>
      <c r="D96" s="164"/>
      <c r="E96" s="164"/>
      <c r="F96" s="164"/>
      <c r="G96" s="164"/>
      <c r="H96" s="164"/>
      <c r="I96" s="164"/>
      <c r="J96" s="165"/>
      <c r="K96" s="165"/>
      <c r="L96" s="165"/>
      <c r="M96" s="165"/>
      <c r="N96" s="166"/>
    </row>
    <row r="97" spans="1:14" x14ac:dyDescent="0.2">
      <c r="A97" s="162"/>
      <c r="B97" s="163"/>
      <c r="C97" s="163"/>
      <c r="D97" s="164"/>
      <c r="E97" s="164"/>
      <c r="F97" s="164"/>
      <c r="G97" s="164"/>
      <c r="H97" s="164"/>
      <c r="I97" s="164"/>
      <c r="J97" s="165"/>
      <c r="K97" s="165"/>
      <c r="L97" s="165"/>
      <c r="M97" s="165"/>
      <c r="N97" s="166"/>
    </row>
    <row r="98" spans="1:14" x14ac:dyDescent="0.2">
      <c r="A98" s="162"/>
      <c r="B98" s="163"/>
      <c r="C98" s="163"/>
      <c r="D98" s="164"/>
      <c r="E98" s="164"/>
      <c r="F98" s="164"/>
      <c r="G98" s="164"/>
      <c r="H98" s="164"/>
      <c r="I98" s="164"/>
      <c r="J98" s="165"/>
      <c r="K98" s="165"/>
      <c r="L98" s="165"/>
      <c r="M98" s="165"/>
      <c r="N98" s="166"/>
    </row>
    <row r="99" spans="1:14" x14ac:dyDescent="0.2">
      <c r="A99" s="162"/>
      <c r="B99" s="163"/>
      <c r="C99" s="163"/>
      <c r="D99" s="164"/>
      <c r="E99" s="164"/>
      <c r="F99" s="164"/>
      <c r="G99" s="164"/>
      <c r="H99" s="164"/>
      <c r="I99" s="164"/>
      <c r="J99" s="165"/>
      <c r="K99" s="165"/>
      <c r="L99" s="165"/>
      <c r="M99" s="165"/>
      <c r="N99" s="166"/>
    </row>
    <row r="100" spans="1:14" x14ac:dyDescent="0.2">
      <c r="A100" s="162"/>
      <c r="B100" s="163"/>
      <c r="C100" s="163"/>
      <c r="D100" s="164"/>
      <c r="E100" s="164"/>
      <c r="F100" s="164"/>
      <c r="G100" s="164"/>
      <c r="H100" s="164"/>
      <c r="I100" s="164"/>
      <c r="J100" s="165"/>
      <c r="K100" s="165"/>
      <c r="L100" s="165"/>
      <c r="M100" s="165"/>
      <c r="N100" s="166"/>
    </row>
    <row r="101" spans="1:14" x14ac:dyDescent="0.2">
      <c r="A101" s="162"/>
      <c r="B101" s="163"/>
      <c r="C101" s="163"/>
      <c r="D101" s="164"/>
      <c r="E101" s="164"/>
      <c r="F101" s="164"/>
      <c r="G101" s="164"/>
      <c r="H101" s="164"/>
      <c r="I101" s="164"/>
      <c r="J101" s="165"/>
      <c r="K101" s="165"/>
      <c r="L101" s="165"/>
      <c r="M101" s="165"/>
      <c r="N101" s="166"/>
    </row>
    <row r="102" spans="1:14" x14ac:dyDescent="0.2">
      <c r="A102" s="162"/>
      <c r="B102" s="163"/>
      <c r="C102" s="163"/>
      <c r="D102" s="164"/>
      <c r="E102" s="164"/>
      <c r="F102" s="164"/>
      <c r="G102" s="164"/>
      <c r="H102" s="164"/>
      <c r="I102" s="164"/>
      <c r="J102" s="165"/>
      <c r="K102" s="165"/>
      <c r="L102" s="165"/>
      <c r="M102" s="165"/>
      <c r="N102" s="166"/>
    </row>
    <row r="103" spans="1:14" x14ac:dyDescent="0.2">
      <c r="A103" s="162"/>
      <c r="B103" s="163"/>
      <c r="C103" s="163"/>
      <c r="D103" s="164"/>
      <c r="E103" s="164"/>
      <c r="F103" s="164"/>
      <c r="G103" s="164"/>
      <c r="H103" s="164"/>
      <c r="I103" s="164"/>
      <c r="J103" s="165"/>
      <c r="K103" s="165"/>
      <c r="L103" s="165"/>
      <c r="M103" s="165"/>
      <c r="N103" s="166"/>
    </row>
    <row r="104" spans="1:14" x14ac:dyDescent="0.2">
      <c r="A104" s="162"/>
      <c r="B104" s="163"/>
      <c r="C104" s="163"/>
      <c r="D104" s="164"/>
      <c r="E104" s="164"/>
      <c r="F104" s="164"/>
      <c r="G104" s="164"/>
      <c r="H104" s="164"/>
      <c r="I104" s="164"/>
      <c r="J104" s="165"/>
      <c r="K104" s="165"/>
      <c r="L104" s="165"/>
      <c r="M104" s="165"/>
      <c r="N104" s="166"/>
    </row>
    <row r="105" spans="1:14" x14ac:dyDescent="0.2">
      <c r="A105" s="162"/>
      <c r="B105" s="163"/>
      <c r="C105" s="163"/>
      <c r="D105" s="164"/>
      <c r="E105" s="164"/>
      <c r="F105" s="164"/>
      <c r="G105" s="164"/>
      <c r="H105" s="164"/>
      <c r="I105" s="164"/>
      <c r="J105" s="165"/>
      <c r="K105" s="165"/>
      <c r="L105" s="165"/>
      <c r="M105" s="165"/>
      <c r="N105" s="166"/>
    </row>
    <row r="106" spans="1:14" x14ac:dyDescent="0.2">
      <c r="A106" s="162"/>
      <c r="B106" s="163"/>
      <c r="C106" s="163"/>
      <c r="D106" s="164"/>
      <c r="E106" s="164"/>
      <c r="F106" s="164"/>
      <c r="G106" s="164"/>
      <c r="H106" s="164"/>
      <c r="I106" s="164"/>
      <c r="J106" s="165"/>
      <c r="K106" s="165"/>
      <c r="L106" s="165"/>
      <c r="M106" s="165"/>
      <c r="N106" s="166"/>
    </row>
    <row r="107" spans="1:14" x14ac:dyDescent="0.2">
      <c r="A107" s="162"/>
      <c r="B107" s="163"/>
      <c r="C107" s="163"/>
      <c r="D107" s="164"/>
      <c r="E107" s="164"/>
      <c r="F107" s="164"/>
      <c r="G107" s="164"/>
      <c r="H107" s="164"/>
      <c r="I107" s="164"/>
      <c r="J107" s="165"/>
      <c r="K107" s="165"/>
      <c r="L107" s="165"/>
      <c r="M107" s="165"/>
      <c r="N107" s="166"/>
    </row>
    <row r="108" spans="1:14" x14ac:dyDescent="0.2">
      <c r="A108" s="162"/>
      <c r="B108" s="163"/>
      <c r="C108" s="163"/>
      <c r="D108" s="164"/>
      <c r="E108" s="164"/>
      <c r="F108" s="164"/>
      <c r="G108" s="164"/>
      <c r="H108" s="164"/>
      <c r="I108" s="164"/>
      <c r="J108" s="165"/>
      <c r="K108" s="165"/>
      <c r="L108" s="165"/>
      <c r="M108" s="165"/>
      <c r="N108" s="166"/>
    </row>
    <row r="109" spans="1:14" x14ac:dyDescent="0.2">
      <c r="A109" s="162"/>
      <c r="B109" s="163"/>
      <c r="C109" s="163"/>
      <c r="D109" s="164"/>
      <c r="E109" s="164"/>
      <c r="F109" s="164"/>
      <c r="G109" s="164"/>
      <c r="H109" s="164"/>
      <c r="I109" s="164"/>
      <c r="J109" s="165"/>
      <c r="K109" s="165"/>
      <c r="L109" s="165"/>
      <c r="M109" s="165"/>
      <c r="N109" s="166"/>
    </row>
    <row r="110" spans="1:14" x14ac:dyDescent="0.2">
      <c r="A110" s="162"/>
      <c r="B110" s="163"/>
      <c r="C110" s="163"/>
      <c r="D110" s="164"/>
      <c r="E110" s="164"/>
      <c r="F110" s="164"/>
      <c r="G110" s="164"/>
      <c r="H110" s="164"/>
      <c r="I110" s="164"/>
      <c r="J110" s="165"/>
      <c r="K110" s="165"/>
      <c r="L110" s="165"/>
      <c r="M110" s="165"/>
      <c r="N110" s="166"/>
    </row>
    <row r="111" spans="1:14" x14ac:dyDescent="0.2">
      <c r="A111" s="162"/>
      <c r="B111" s="163"/>
      <c r="C111" s="163"/>
      <c r="D111" s="164"/>
      <c r="E111" s="164"/>
      <c r="F111" s="164"/>
      <c r="G111" s="164"/>
      <c r="H111" s="164"/>
      <c r="I111" s="164"/>
      <c r="J111" s="165"/>
      <c r="K111" s="165"/>
      <c r="L111" s="165"/>
      <c r="M111" s="165"/>
      <c r="N111" s="166"/>
    </row>
    <row r="112" spans="1:14" x14ac:dyDescent="0.2">
      <c r="A112" s="162"/>
      <c r="B112" s="163"/>
      <c r="C112" s="163"/>
      <c r="D112" s="164"/>
      <c r="E112" s="164"/>
      <c r="F112" s="164"/>
      <c r="G112" s="164"/>
      <c r="H112" s="164"/>
      <c r="I112" s="164"/>
      <c r="J112" s="165"/>
      <c r="K112" s="165"/>
      <c r="L112" s="165"/>
      <c r="M112" s="165"/>
      <c r="N112" s="166"/>
    </row>
    <row r="113" spans="1:14" x14ac:dyDescent="0.2">
      <c r="A113" s="162"/>
      <c r="B113" s="163"/>
      <c r="C113" s="163"/>
      <c r="D113" s="164"/>
      <c r="E113" s="164"/>
      <c r="F113" s="164"/>
      <c r="G113" s="164"/>
      <c r="H113" s="164"/>
      <c r="I113" s="164"/>
      <c r="J113" s="165"/>
      <c r="K113" s="165"/>
      <c r="L113" s="165"/>
      <c r="M113" s="165"/>
      <c r="N113" s="166"/>
    </row>
    <row r="114" spans="1:14" x14ac:dyDescent="0.2">
      <c r="A114" s="162"/>
      <c r="B114" s="163"/>
      <c r="C114" s="163"/>
      <c r="D114" s="164"/>
      <c r="E114" s="164"/>
      <c r="F114" s="164"/>
      <c r="G114" s="164"/>
      <c r="H114" s="164"/>
      <c r="I114" s="164"/>
      <c r="J114" s="165"/>
      <c r="K114" s="165"/>
      <c r="L114" s="165"/>
      <c r="M114" s="165"/>
      <c r="N114" s="166"/>
    </row>
    <row r="115" spans="1:14" x14ac:dyDescent="0.2">
      <c r="A115" s="162"/>
      <c r="B115" s="163"/>
      <c r="C115" s="163"/>
      <c r="D115" s="164"/>
      <c r="E115" s="164"/>
      <c r="F115" s="164"/>
      <c r="G115" s="164"/>
      <c r="H115" s="164"/>
      <c r="I115" s="164"/>
      <c r="J115" s="165"/>
      <c r="K115" s="165"/>
      <c r="L115" s="165"/>
      <c r="M115" s="165"/>
      <c r="N115" s="166"/>
    </row>
    <row r="116" spans="1:14" x14ac:dyDescent="0.2">
      <c r="A116" s="162"/>
      <c r="B116" s="163"/>
      <c r="C116" s="163"/>
      <c r="D116" s="164"/>
      <c r="E116" s="164"/>
      <c r="F116" s="164"/>
      <c r="G116" s="164"/>
      <c r="H116" s="164"/>
      <c r="I116" s="164"/>
      <c r="J116" s="165"/>
      <c r="K116" s="165"/>
      <c r="L116" s="165"/>
      <c r="M116" s="165"/>
      <c r="N116" s="166"/>
    </row>
    <row r="117" spans="1:14" x14ac:dyDescent="0.2">
      <c r="A117" s="162"/>
      <c r="B117" s="163"/>
      <c r="C117" s="163"/>
      <c r="D117" s="164"/>
      <c r="E117" s="164"/>
      <c r="F117" s="164"/>
      <c r="G117" s="164"/>
      <c r="H117" s="164"/>
      <c r="I117" s="164"/>
      <c r="J117" s="165"/>
      <c r="K117" s="165"/>
      <c r="L117" s="165"/>
      <c r="M117" s="165"/>
      <c r="N117" s="166"/>
    </row>
    <row r="118" spans="1:14" x14ac:dyDescent="0.2">
      <c r="A118" s="162"/>
      <c r="B118" s="163"/>
      <c r="C118" s="163"/>
      <c r="D118" s="164"/>
      <c r="E118" s="164"/>
      <c r="F118" s="164"/>
      <c r="G118" s="164"/>
      <c r="H118" s="164"/>
      <c r="I118" s="164"/>
      <c r="J118" s="165"/>
      <c r="K118" s="165"/>
      <c r="L118" s="165"/>
      <c r="M118" s="165"/>
      <c r="N118" s="166"/>
    </row>
    <row r="119" spans="1:14" x14ac:dyDescent="0.2">
      <c r="A119" s="162"/>
      <c r="B119" s="163"/>
      <c r="C119" s="163"/>
      <c r="D119" s="164"/>
      <c r="E119" s="164"/>
      <c r="F119" s="164"/>
      <c r="G119" s="164"/>
      <c r="H119" s="164"/>
      <c r="I119" s="164"/>
      <c r="J119" s="165"/>
      <c r="K119" s="165"/>
      <c r="L119" s="165"/>
      <c r="M119" s="165"/>
      <c r="N119" s="166"/>
    </row>
    <row r="120" spans="1:14" x14ac:dyDescent="0.2">
      <c r="A120" s="167"/>
      <c r="B120" s="168"/>
      <c r="C120" s="168"/>
      <c r="D120" s="169"/>
      <c r="E120" s="169"/>
      <c r="F120" s="169"/>
      <c r="G120" s="169"/>
      <c r="H120" s="169"/>
      <c r="I120" s="169"/>
      <c r="J120" s="170"/>
      <c r="K120" s="170"/>
      <c r="L120" s="170"/>
      <c r="M120" s="170"/>
      <c r="N120" s="171"/>
    </row>
  </sheetData>
  <mergeCells count="2">
    <mergeCell ref="A1:N1"/>
    <mergeCell ref="A2:N2"/>
  </mergeCells>
  <conditionalFormatting sqref="J5:J120">
    <cfRule type="containsText" dxfId="106" priority="1" operator="containsText" text="Pass">
      <formula>NOT(ISERROR(SEARCH("Pass",J5)))</formula>
    </cfRule>
    <cfRule type="containsText" dxfId="105" priority="2" operator="containsText" text="Fail">
      <formula>NOT(ISERROR(SEARCH("Fail",J5)))</formula>
    </cfRule>
  </conditionalFormatting>
  <conditionalFormatting sqref="L5:M120">
    <cfRule type="containsText" dxfId="104" priority="3" operator="containsText" text="No">
      <formula>NOT(ISERROR(SEARCH("No",L5)))</formula>
    </cfRule>
  </conditionalFormatting>
  <dataValidations count="3">
    <dataValidation type="list" allowBlank="1" showInputMessage="1" showErrorMessage="1" sqref="F5:F120" xr:uid="{F029AAF7-4AA1-AD44-A40B-A3993E367D42}">
      <formula1>"NYC DOB,FDNY,NYC DOH,NYC DEP,Special Insp. Agency,Testing Laboratory,OSHA,Con Edison,National Grid,Landlord / Condo,Other"</formula1>
    </dataValidation>
    <dataValidation type="list" allowBlank="1" showInputMessage="1" showErrorMessage="1" sqref="J5:J120" xr:uid="{5CEE15BF-7753-1249-B2E2-A76022786D66}">
      <formula1>"Pass,Fail,Re-inspect,Observation Only,N/A"</formula1>
    </dataValidation>
    <dataValidation type="list" allowBlank="1" showInputMessage="1" showErrorMessage="1" sqref="L5:L120 M5:M120" xr:uid="{3676D55B-67C3-7C4A-A648-B0A682189D8C}">
      <formula1>"Yes,No"</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BF18-3A28-4F45-9570-66DFD108EA15}">
  <dimension ref="A1:Q50"/>
  <sheetViews>
    <sheetView workbookViewId="0">
      <pane ySplit="6" topLeftCell="A7" activePane="bottomLeft" state="frozen"/>
      <selection pane="bottomLeft" sqref="A1:Q1"/>
    </sheetView>
  </sheetViews>
  <sheetFormatPr baseColWidth="10" defaultColWidth="11" defaultRowHeight="16" x14ac:dyDescent="0.2"/>
  <cols>
    <col min="1" max="1" width="11" style="3" customWidth="1"/>
    <col min="2" max="2" width="46.6640625" style="3" customWidth="1"/>
    <col min="3" max="3" width="20" style="3" customWidth="1"/>
    <col min="4" max="4" width="25" style="3" customWidth="1"/>
    <col min="5" max="5" width="23.33203125" style="3" customWidth="1"/>
    <col min="6" max="6" width="10.33203125" style="3" customWidth="1"/>
    <col min="7" max="8" width="15" style="3" customWidth="1"/>
    <col min="9" max="9" width="15.83203125" style="3" customWidth="1"/>
    <col min="10" max="10" width="14.6640625" style="3" customWidth="1"/>
    <col min="11" max="11" width="11.6640625" style="3" customWidth="1"/>
    <col min="12" max="14" width="13.33203125" style="3" customWidth="1"/>
    <col min="15" max="15" width="15" style="3" customWidth="1"/>
    <col min="16" max="16" width="15.83203125" style="3" customWidth="1"/>
    <col min="17" max="17" width="28.33203125" style="3" customWidth="1"/>
  </cols>
  <sheetData>
    <row r="1" spans="1:17" ht="26" customHeight="1" x14ac:dyDescent="0.2">
      <c r="A1" s="249" t="s">
        <v>1662</v>
      </c>
      <c r="B1" s="249"/>
      <c r="C1" s="249"/>
      <c r="D1" s="249"/>
      <c r="E1" s="249"/>
      <c r="F1" s="249"/>
      <c r="G1" s="249"/>
      <c r="H1" s="249"/>
      <c r="I1" s="249"/>
      <c r="J1" s="249"/>
      <c r="K1" s="249"/>
      <c r="L1" s="249"/>
      <c r="M1" s="249"/>
      <c r="N1" s="249"/>
      <c r="O1" s="249"/>
      <c r="P1" s="249"/>
      <c r="Q1" s="249"/>
    </row>
    <row r="2" spans="1:17" ht="34" customHeight="1" x14ac:dyDescent="0.2">
      <c r="A2" s="257" t="s">
        <v>1663</v>
      </c>
      <c r="B2" s="257"/>
      <c r="C2" s="257"/>
      <c r="D2" s="257"/>
      <c r="E2" s="257"/>
      <c r="F2" s="257"/>
      <c r="G2" s="257"/>
      <c r="H2" s="257"/>
      <c r="I2" s="257"/>
      <c r="J2" s="257"/>
      <c r="K2" s="257"/>
      <c r="L2" s="257"/>
      <c r="M2" s="257"/>
      <c r="N2" s="257"/>
      <c r="O2" s="257"/>
      <c r="P2" s="257"/>
      <c r="Q2" s="257"/>
    </row>
    <row r="3" spans="1:17" x14ac:dyDescent="0.2">
      <c r="A3" s="4"/>
      <c r="B3" s="4"/>
      <c r="C3" s="4"/>
      <c r="D3" s="4"/>
      <c r="E3" s="4"/>
      <c r="F3" s="4"/>
      <c r="G3" s="4"/>
      <c r="H3" s="4"/>
      <c r="I3" s="4"/>
      <c r="J3" s="4"/>
      <c r="K3" s="4"/>
      <c r="L3" s="4"/>
      <c r="M3" s="4"/>
      <c r="N3" s="4"/>
      <c r="O3" s="4"/>
      <c r="P3" s="4"/>
      <c r="Q3" s="4"/>
    </row>
    <row r="4" spans="1:17" ht="22" customHeight="1" x14ac:dyDescent="0.2">
      <c r="A4" s="110" t="s">
        <v>1664</v>
      </c>
      <c r="B4" s="126">
        <f>COUNTA($A$7:$A$60)</f>
        <v>38</v>
      </c>
      <c r="C4" s="110" t="s">
        <v>1665</v>
      </c>
      <c r="D4" s="126">
        <f>COUNTIF($J$7:$J$60,"Pass")</f>
        <v>0</v>
      </c>
      <c r="E4" s="110" t="s">
        <v>1666</v>
      </c>
      <c r="F4" s="110"/>
      <c r="G4" s="126">
        <f>COUNTIF($L$7:$L$60,"Yes")</f>
        <v>0</v>
      </c>
      <c r="H4" s="110" t="s">
        <v>1667</v>
      </c>
      <c r="I4" s="110"/>
      <c r="J4" s="126">
        <f>COUNTIF($M$7:$M$60,"Yes")</f>
        <v>0</v>
      </c>
      <c r="K4" s="110" t="s">
        <v>1668</v>
      </c>
      <c r="L4" s="110"/>
      <c r="M4" s="127">
        <f>IF($B$4=0,0,COUNTIF($P$7:$P$60,"Accepted")/$B$4)</f>
        <v>0</v>
      </c>
      <c r="N4" s="4"/>
      <c r="O4" s="4"/>
      <c r="P4" s="4"/>
      <c r="Q4" s="4"/>
    </row>
    <row r="5" spans="1:17" x14ac:dyDescent="0.2">
      <c r="A5" s="4"/>
      <c r="B5" s="4"/>
      <c r="C5" s="4"/>
      <c r="D5" s="4"/>
      <c r="E5" s="4"/>
      <c r="F5" s="4"/>
      <c r="G5" s="4"/>
      <c r="H5" s="4"/>
      <c r="I5" s="4"/>
      <c r="J5" s="4"/>
      <c r="K5" s="4"/>
      <c r="L5" s="4"/>
      <c r="M5" s="4"/>
      <c r="N5" s="4"/>
      <c r="O5" s="4"/>
      <c r="P5" s="4"/>
      <c r="Q5" s="4"/>
    </row>
    <row r="6" spans="1:17" ht="48" customHeight="1" x14ac:dyDescent="0.2">
      <c r="A6" s="48" t="s">
        <v>1669</v>
      </c>
      <c r="B6" s="48" t="s">
        <v>1670</v>
      </c>
      <c r="C6" s="48" t="s">
        <v>1671</v>
      </c>
      <c r="D6" s="48" t="s">
        <v>1672</v>
      </c>
      <c r="E6" s="48" t="s">
        <v>1673</v>
      </c>
      <c r="F6" s="48" t="s">
        <v>185</v>
      </c>
      <c r="G6" s="48" t="s">
        <v>1674</v>
      </c>
      <c r="H6" s="48" t="s">
        <v>1675</v>
      </c>
      <c r="I6" s="48" t="s">
        <v>1676</v>
      </c>
      <c r="J6" s="48" t="s">
        <v>1677</v>
      </c>
      <c r="K6" s="48" t="s">
        <v>1678</v>
      </c>
      <c r="L6" s="48" t="s">
        <v>1679</v>
      </c>
      <c r="M6" s="48" t="s">
        <v>1680</v>
      </c>
      <c r="N6" s="48" t="s">
        <v>1681</v>
      </c>
      <c r="O6" s="48" t="s">
        <v>1682</v>
      </c>
      <c r="P6" s="48" t="s">
        <v>448</v>
      </c>
      <c r="Q6" s="48" t="s">
        <v>299</v>
      </c>
    </row>
    <row r="7" spans="1:17" x14ac:dyDescent="0.2">
      <c r="A7" s="175" t="s">
        <v>1683</v>
      </c>
      <c r="B7" s="115" t="s">
        <v>1684</v>
      </c>
      <c r="C7" s="115" t="s">
        <v>1685</v>
      </c>
      <c r="D7" s="115" t="s">
        <v>720</v>
      </c>
      <c r="E7" s="115" t="s">
        <v>382</v>
      </c>
      <c r="F7" s="115" t="s">
        <v>348</v>
      </c>
      <c r="G7" s="117"/>
      <c r="H7" s="117"/>
      <c r="I7" s="117"/>
      <c r="J7" s="117"/>
      <c r="K7" s="117" t="s">
        <v>304</v>
      </c>
      <c r="L7" s="117"/>
      <c r="M7" s="117"/>
      <c r="N7" s="117"/>
      <c r="O7" s="117"/>
      <c r="P7" s="117" t="s">
        <v>708</v>
      </c>
      <c r="Q7" s="118"/>
    </row>
    <row r="8" spans="1:17" x14ac:dyDescent="0.2">
      <c r="A8" s="50" t="s">
        <v>1686</v>
      </c>
      <c r="B8" s="36" t="s">
        <v>1687</v>
      </c>
      <c r="C8" s="36" t="s">
        <v>1688</v>
      </c>
      <c r="D8" s="36" t="s">
        <v>720</v>
      </c>
      <c r="E8" s="36" t="s">
        <v>1689</v>
      </c>
      <c r="F8" s="36" t="s">
        <v>348</v>
      </c>
      <c r="G8" s="106"/>
      <c r="H8" s="106"/>
      <c r="I8" s="106"/>
      <c r="J8" s="106"/>
      <c r="K8" s="106" t="s">
        <v>304</v>
      </c>
      <c r="L8" s="106"/>
      <c r="M8" s="106"/>
      <c r="N8" s="106"/>
      <c r="O8" s="106"/>
      <c r="P8" s="106" t="s">
        <v>708</v>
      </c>
      <c r="Q8" s="28"/>
    </row>
    <row r="9" spans="1:17" x14ac:dyDescent="0.2">
      <c r="A9" s="50" t="s">
        <v>1690</v>
      </c>
      <c r="B9" s="36" t="s">
        <v>1691</v>
      </c>
      <c r="C9" s="36" t="s">
        <v>1692</v>
      </c>
      <c r="D9" s="36" t="s">
        <v>720</v>
      </c>
      <c r="E9" s="36" t="s">
        <v>362</v>
      </c>
      <c r="F9" s="36" t="s">
        <v>348</v>
      </c>
      <c r="G9" s="106"/>
      <c r="H9" s="106"/>
      <c r="I9" s="106"/>
      <c r="J9" s="106"/>
      <c r="K9" s="106" t="s">
        <v>304</v>
      </c>
      <c r="L9" s="106"/>
      <c r="M9" s="106"/>
      <c r="N9" s="106"/>
      <c r="O9" s="106"/>
      <c r="P9" s="106" t="s">
        <v>708</v>
      </c>
      <c r="Q9" s="28"/>
    </row>
    <row r="10" spans="1:17" x14ac:dyDescent="0.2">
      <c r="A10" s="50" t="s">
        <v>1693</v>
      </c>
      <c r="B10" s="36" t="s">
        <v>1691</v>
      </c>
      <c r="C10" s="36" t="s">
        <v>1692</v>
      </c>
      <c r="D10" s="36" t="s">
        <v>720</v>
      </c>
      <c r="E10" s="36" t="s">
        <v>1694</v>
      </c>
      <c r="F10" s="36" t="s">
        <v>348</v>
      </c>
      <c r="G10" s="106"/>
      <c r="H10" s="106"/>
      <c r="I10" s="106"/>
      <c r="J10" s="106"/>
      <c r="K10" s="106" t="s">
        <v>304</v>
      </c>
      <c r="L10" s="106"/>
      <c r="M10" s="106"/>
      <c r="N10" s="106"/>
      <c r="O10" s="106"/>
      <c r="P10" s="106" t="s">
        <v>708</v>
      </c>
      <c r="Q10" s="28"/>
    </row>
    <row r="11" spans="1:17" x14ac:dyDescent="0.2">
      <c r="A11" s="50" t="s">
        <v>1695</v>
      </c>
      <c r="B11" s="36" t="s">
        <v>1696</v>
      </c>
      <c r="C11" s="36" t="s">
        <v>1697</v>
      </c>
      <c r="D11" s="36" t="s">
        <v>720</v>
      </c>
      <c r="E11" s="36" t="s">
        <v>389</v>
      </c>
      <c r="F11" s="36" t="s">
        <v>348</v>
      </c>
      <c r="G11" s="106"/>
      <c r="H11" s="106"/>
      <c r="I11" s="106"/>
      <c r="J11" s="106"/>
      <c r="K11" s="106" t="s">
        <v>304</v>
      </c>
      <c r="L11" s="106"/>
      <c r="M11" s="106"/>
      <c r="N11" s="106"/>
      <c r="O11" s="106"/>
      <c r="P11" s="106" t="s">
        <v>708</v>
      </c>
      <c r="Q11" s="28"/>
    </row>
    <row r="12" spans="1:17" x14ac:dyDescent="0.2">
      <c r="A12" s="50" t="s">
        <v>1698</v>
      </c>
      <c r="B12" s="36" t="s">
        <v>1696</v>
      </c>
      <c r="C12" s="36" t="s">
        <v>1697</v>
      </c>
      <c r="D12" s="36" t="s">
        <v>720</v>
      </c>
      <c r="E12" s="36" t="s">
        <v>389</v>
      </c>
      <c r="F12" s="36" t="s">
        <v>348</v>
      </c>
      <c r="G12" s="106"/>
      <c r="H12" s="106"/>
      <c r="I12" s="106"/>
      <c r="J12" s="106"/>
      <c r="K12" s="106" t="s">
        <v>304</v>
      </c>
      <c r="L12" s="106"/>
      <c r="M12" s="106"/>
      <c r="N12" s="106"/>
      <c r="O12" s="106"/>
      <c r="P12" s="106" t="s">
        <v>708</v>
      </c>
      <c r="Q12" s="28"/>
    </row>
    <row r="13" spans="1:17" x14ac:dyDescent="0.2">
      <c r="A13" s="50" t="s">
        <v>1699</v>
      </c>
      <c r="B13" s="36" t="s">
        <v>1696</v>
      </c>
      <c r="C13" s="36" t="s">
        <v>1697</v>
      </c>
      <c r="D13" s="36" t="s">
        <v>720</v>
      </c>
      <c r="E13" s="36" t="s">
        <v>389</v>
      </c>
      <c r="F13" s="36" t="s">
        <v>348</v>
      </c>
      <c r="G13" s="106"/>
      <c r="H13" s="106"/>
      <c r="I13" s="106"/>
      <c r="J13" s="106"/>
      <c r="K13" s="106" t="s">
        <v>304</v>
      </c>
      <c r="L13" s="106"/>
      <c r="M13" s="106"/>
      <c r="N13" s="106"/>
      <c r="O13" s="106"/>
      <c r="P13" s="106" t="s">
        <v>708</v>
      </c>
      <c r="Q13" s="28"/>
    </row>
    <row r="14" spans="1:17" x14ac:dyDescent="0.2">
      <c r="A14" s="50" t="s">
        <v>1700</v>
      </c>
      <c r="B14" s="36" t="s">
        <v>1696</v>
      </c>
      <c r="C14" s="36" t="s">
        <v>1697</v>
      </c>
      <c r="D14" s="36" t="s">
        <v>720</v>
      </c>
      <c r="E14" s="36" t="s">
        <v>1701</v>
      </c>
      <c r="F14" s="36" t="s">
        <v>348</v>
      </c>
      <c r="G14" s="106"/>
      <c r="H14" s="106"/>
      <c r="I14" s="106"/>
      <c r="J14" s="106"/>
      <c r="K14" s="106" t="s">
        <v>304</v>
      </c>
      <c r="L14" s="106"/>
      <c r="M14" s="106"/>
      <c r="N14" s="106"/>
      <c r="O14" s="106"/>
      <c r="P14" s="106" t="s">
        <v>708</v>
      </c>
      <c r="Q14" s="28"/>
    </row>
    <row r="15" spans="1:17" x14ac:dyDescent="0.2">
      <c r="A15" s="50" t="s">
        <v>1702</v>
      </c>
      <c r="B15" s="36" t="s">
        <v>1696</v>
      </c>
      <c r="C15" s="36" t="s">
        <v>1697</v>
      </c>
      <c r="D15" s="36" t="s">
        <v>720</v>
      </c>
      <c r="E15" s="36" t="s">
        <v>1701</v>
      </c>
      <c r="F15" s="36" t="s">
        <v>348</v>
      </c>
      <c r="G15" s="106"/>
      <c r="H15" s="106"/>
      <c r="I15" s="106"/>
      <c r="J15" s="106"/>
      <c r="K15" s="106" t="s">
        <v>304</v>
      </c>
      <c r="L15" s="106"/>
      <c r="M15" s="106"/>
      <c r="N15" s="106"/>
      <c r="O15" s="106"/>
      <c r="P15" s="106" t="s">
        <v>708</v>
      </c>
      <c r="Q15" s="28"/>
    </row>
    <row r="16" spans="1:17" x14ac:dyDescent="0.2">
      <c r="A16" s="50" t="s">
        <v>1703</v>
      </c>
      <c r="B16" s="36" t="s">
        <v>1704</v>
      </c>
      <c r="C16" s="36" t="s">
        <v>1705</v>
      </c>
      <c r="D16" s="36" t="s">
        <v>720</v>
      </c>
      <c r="E16" s="36" t="s">
        <v>382</v>
      </c>
      <c r="F16" s="36" t="s">
        <v>348</v>
      </c>
      <c r="G16" s="106"/>
      <c r="H16" s="106"/>
      <c r="I16" s="106"/>
      <c r="J16" s="106"/>
      <c r="K16" s="106" t="s">
        <v>304</v>
      </c>
      <c r="L16" s="106"/>
      <c r="M16" s="106"/>
      <c r="N16" s="106"/>
      <c r="O16" s="106"/>
      <c r="P16" s="106" t="s">
        <v>708</v>
      </c>
      <c r="Q16" s="28"/>
    </row>
    <row r="17" spans="1:17" x14ac:dyDescent="0.2">
      <c r="A17" s="50" t="s">
        <v>1706</v>
      </c>
      <c r="B17" s="36" t="s">
        <v>1707</v>
      </c>
      <c r="C17" s="36" t="s">
        <v>1705</v>
      </c>
      <c r="D17" s="36" t="s">
        <v>720</v>
      </c>
      <c r="E17" s="36" t="s">
        <v>1708</v>
      </c>
      <c r="F17" s="36" t="s">
        <v>348</v>
      </c>
      <c r="G17" s="106"/>
      <c r="H17" s="106"/>
      <c r="I17" s="106"/>
      <c r="J17" s="106"/>
      <c r="K17" s="106" t="s">
        <v>304</v>
      </c>
      <c r="L17" s="106"/>
      <c r="M17" s="106"/>
      <c r="N17" s="106"/>
      <c r="O17" s="106"/>
      <c r="P17" s="106" t="s">
        <v>708</v>
      </c>
      <c r="Q17" s="28"/>
    </row>
    <row r="18" spans="1:17" x14ac:dyDescent="0.2">
      <c r="A18" s="50" t="s">
        <v>1709</v>
      </c>
      <c r="B18" s="36" t="s">
        <v>1710</v>
      </c>
      <c r="C18" s="36" t="s">
        <v>1705</v>
      </c>
      <c r="D18" s="36" t="s">
        <v>720</v>
      </c>
      <c r="E18" s="36" t="s">
        <v>351</v>
      </c>
      <c r="F18" s="36" t="s">
        <v>348</v>
      </c>
      <c r="G18" s="106"/>
      <c r="H18" s="106"/>
      <c r="I18" s="106"/>
      <c r="J18" s="106"/>
      <c r="K18" s="106" t="s">
        <v>304</v>
      </c>
      <c r="L18" s="106"/>
      <c r="M18" s="106"/>
      <c r="N18" s="106"/>
      <c r="O18" s="106"/>
      <c r="P18" s="106" t="s">
        <v>708</v>
      </c>
      <c r="Q18" s="28"/>
    </row>
    <row r="19" spans="1:17" x14ac:dyDescent="0.2">
      <c r="A19" s="50" t="s">
        <v>1711</v>
      </c>
      <c r="B19" s="36" t="s">
        <v>1712</v>
      </c>
      <c r="C19" s="36" t="s">
        <v>1713</v>
      </c>
      <c r="D19" s="36" t="s">
        <v>720</v>
      </c>
      <c r="E19" s="36" t="s">
        <v>382</v>
      </c>
      <c r="F19" s="36" t="s">
        <v>359</v>
      </c>
      <c r="G19" s="106"/>
      <c r="H19" s="106"/>
      <c r="I19" s="106"/>
      <c r="J19" s="106"/>
      <c r="K19" s="106" t="s">
        <v>316</v>
      </c>
      <c r="L19" s="106"/>
      <c r="M19" s="106"/>
      <c r="N19" s="106"/>
      <c r="O19" s="106"/>
      <c r="P19" s="106" t="s">
        <v>708</v>
      </c>
      <c r="Q19" s="28"/>
    </row>
    <row r="20" spans="1:17" x14ac:dyDescent="0.2">
      <c r="A20" s="50" t="s">
        <v>1714</v>
      </c>
      <c r="B20" s="36" t="s">
        <v>1712</v>
      </c>
      <c r="C20" s="36" t="s">
        <v>1713</v>
      </c>
      <c r="D20" s="36" t="s">
        <v>720</v>
      </c>
      <c r="E20" s="36" t="s">
        <v>382</v>
      </c>
      <c r="F20" s="36" t="s">
        <v>359</v>
      </c>
      <c r="G20" s="106"/>
      <c r="H20" s="106"/>
      <c r="I20" s="106"/>
      <c r="J20" s="106"/>
      <c r="K20" s="106" t="s">
        <v>316</v>
      </c>
      <c r="L20" s="106"/>
      <c r="M20" s="106"/>
      <c r="N20" s="106"/>
      <c r="O20" s="106"/>
      <c r="P20" s="106" t="s">
        <v>708</v>
      </c>
      <c r="Q20" s="28"/>
    </row>
    <row r="21" spans="1:17" x14ac:dyDescent="0.2">
      <c r="A21" s="50" t="s">
        <v>1715</v>
      </c>
      <c r="B21" s="36" t="s">
        <v>1716</v>
      </c>
      <c r="C21" s="36" t="s">
        <v>1717</v>
      </c>
      <c r="D21" s="36" t="s">
        <v>720</v>
      </c>
      <c r="E21" s="36" t="s">
        <v>382</v>
      </c>
      <c r="F21" s="36" t="s">
        <v>359</v>
      </c>
      <c r="G21" s="106"/>
      <c r="H21" s="106"/>
      <c r="I21" s="106"/>
      <c r="J21" s="106"/>
      <c r="K21" s="106" t="s">
        <v>316</v>
      </c>
      <c r="L21" s="106"/>
      <c r="M21" s="106"/>
      <c r="N21" s="106"/>
      <c r="O21" s="106"/>
      <c r="P21" s="106" t="s">
        <v>708</v>
      </c>
      <c r="Q21" s="28"/>
    </row>
    <row r="22" spans="1:17" x14ac:dyDescent="0.2">
      <c r="A22" s="50" t="s">
        <v>1718</v>
      </c>
      <c r="B22" s="36" t="s">
        <v>1719</v>
      </c>
      <c r="C22" s="36" t="s">
        <v>364</v>
      </c>
      <c r="D22" s="36" t="s">
        <v>720</v>
      </c>
      <c r="E22" s="36" t="s">
        <v>389</v>
      </c>
      <c r="F22" s="36" t="s">
        <v>354</v>
      </c>
      <c r="G22" s="106"/>
      <c r="H22" s="106"/>
      <c r="I22" s="106"/>
      <c r="J22" s="106"/>
      <c r="K22" s="106" t="s">
        <v>304</v>
      </c>
      <c r="L22" s="106"/>
      <c r="M22" s="106"/>
      <c r="N22" s="106"/>
      <c r="O22" s="106"/>
      <c r="P22" s="106" t="s">
        <v>708</v>
      </c>
      <c r="Q22" s="28"/>
    </row>
    <row r="23" spans="1:17" x14ac:dyDescent="0.2">
      <c r="A23" s="50" t="s">
        <v>1720</v>
      </c>
      <c r="B23" s="36" t="s">
        <v>1721</v>
      </c>
      <c r="C23" s="36" t="s">
        <v>364</v>
      </c>
      <c r="D23" s="36" t="s">
        <v>720</v>
      </c>
      <c r="E23" s="36" t="s">
        <v>1701</v>
      </c>
      <c r="F23" s="36" t="s">
        <v>354</v>
      </c>
      <c r="G23" s="106"/>
      <c r="H23" s="106"/>
      <c r="I23" s="106"/>
      <c r="J23" s="106"/>
      <c r="K23" s="106" t="s">
        <v>304</v>
      </c>
      <c r="L23" s="106"/>
      <c r="M23" s="106"/>
      <c r="N23" s="106"/>
      <c r="O23" s="106"/>
      <c r="P23" s="106" t="s">
        <v>708</v>
      </c>
      <c r="Q23" s="28"/>
    </row>
    <row r="24" spans="1:17" x14ac:dyDescent="0.2">
      <c r="A24" s="50" t="s">
        <v>1722</v>
      </c>
      <c r="B24" s="36" t="s">
        <v>1723</v>
      </c>
      <c r="C24" s="36" t="s">
        <v>1717</v>
      </c>
      <c r="D24" s="36" t="s">
        <v>720</v>
      </c>
      <c r="E24" s="36" t="s">
        <v>1724</v>
      </c>
      <c r="F24" s="36" t="s">
        <v>225</v>
      </c>
      <c r="G24" s="106"/>
      <c r="H24" s="106"/>
      <c r="I24" s="106"/>
      <c r="J24" s="106"/>
      <c r="K24" s="106" t="s">
        <v>316</v>
      </c>
      <c r="L24" s="106"/>
      <c r="M24" s="106"/>
      <c r="N24" s="106"/>
      <c r="O24" s="106"/>
      <c r="P24" s="106" t="s">
        <v>708</v>
      </c>
      <c r="Q24" s="28"/>
    </row>
    <row r="25" spans="1:17" x14ac:dyDescent="0.2">
      <c r="A25" s="50" t="s">
        <v>1725</v>
      </c>
      <c r="B25" s="36" t="s">
        <v>1726</v>
      </c>
      <c r="C25" s="36" t="s">
        <v>1717</v>
      </c>
      <c r="D25" s="36" t="s">
        <v>720</v>
      </c>
      <c r="E25" s="36" t="s">
        <v>1724</v>
      </c>
      <c r="F25" s="36" t="s">
        <v>225</v>
      </c>
      <c r="G25" s="106"/>
      <c r="H25" s="106"/>
      <c r="I25" s="106"/>
      <c r="J25" s="106"/>
      <c r="K25" s="106" t="s">
        <v>316</v>
      </c>
      <c r="L25" s="106"/>
      <c r="M25" s="106"/>
      <c r="N25" s="106"/>
      <c r="O25" s="106"/>
      <c r="P25" s="106" t="s">
        <v>708</v>
      </c>
      <c r="Q25" s="28"/>
    </row>
    <row r="26" spans="1:17" x14ac:dyDescent="0.2">
      <c r="A26" s="50" t="s">
        <v>1727</v>
      </c>
      <c r="B26" s="36" t="s">
        <v>1728</v>
      </c>
      <c r="C26" s="36" t="s">
        <v>1717</v>
      </c>
      <c r="D26" s="36" t="s">
        <v>720</v>
      </c>
      <c r="E26" s="36" t="s">
        <v>1729</v>
      </c>
      <c r="F26" s="36" t="s">
        <v>225</v>
      </c>
      <c r="G26" s="106"/>
      <c r="H26" s="106"/>
      <c r="I26" s="106"/>
      <c r="J26" s="106"/>
      <c r="K26" s="106" t="s">
        <v>316</v>
      </c>
      <c r="L26" s="106"/>
      <c r="M26" s="106"/>
      <c r="N26" s="106"/>
      <c r="O26" s="106"/>
      <c r="P26" s="106" t="s">
        <v>708</v>
      </c>
      <c r="Q26" s="28"/>
    </row>
    <row r="27" spans="1:17" x14ac:dyDescent="0.2">
      <c r="A27" s="50" t="s">
        <v>1730</v>
      </c>
      <c r="B27" s="36" t="s">
        <v>1731</v>
      </c>
      <c r="C27" s="36" t="s">
        <v>1717</v>
      </c>
      <c r="D27" s="36" t="s">
        <v>720</v>
      </c>
      <c r="E27" s="36" t="s">
        <v>1724</v>
      </c>
      <c r="F27" s="36" t="s">
        <v>225</v>
      </c>
      <c r="G27" s="106"/>
      <c r="H27" s="106"/>
      <c r="I27" s="106"/>
      <c r="J27" s="106"/>
      <c r="K27" s="106" t="s">
        <v>316</v>
      </c>
      <c r="L27" s="106"/>
      <c r="M27" s="106"/>
      <c r="N27" s="106"/>
      <c r="O27" s="106"/>
      <c r="P27" s="106" t="s">
        <v>708</v>
      </c>
      <c r="Q27" s="28"/>
    </row>
    <row r="28" spans="1:17" x14ac:dyDescent="0.2">
      <c r="A28" s="50" t="s">
        <v>1732</v>
      </c>
      <c r="B28" s="36" t="s">
        <v>1733</v>
      </c>
      <c r="C28" s="36" t="s">
        <v>1717</v>
      </c>
      <c r="D28" s="36" t="s">
        <v>720</v>
      </c>
      <c r="E28" s="36" t="s">
        <v>1724</v>
      </c>
      <c r="F28" s="36" t="s">
        <v>225</v>
      </c>
      <c r="G28" s="106"/>
      <c r="H28" s="106"/>
      <c r="I28" s="106"/>
      <c r="J28" s="106"/>
      <c r="K28" s="106" t="s">
        <v>316</v>
      </c>
      <c r="L28" s="106"/>
      <c r="M28" s="106"/>
      <c r="N28" s="106"/>
      <c r="O28" s="106"/>
      <c r="P28" s="106" t="s">
        <v>708</v>
      </c>
      <c r="Q28" s="28"/>
    </row>
    <row r="29" spans="1:17" x14ac:dyDescent="0.2">
      <c r="A29" s="50" t="s">
        <v>1734</v>
      </c>
      <c r="B29" s="36" t="s">
        <v>1735</v>
      </c>
      <c r="C29" s="36" t="s">
        <v>1717</v>
      </c>
      <c r="D29" s="36" t="s">
        <v>720</v>
      </c>
      <c r="E29" s="36" t="s">
        <v>314</v>
      </c>
      <c r="F29" s="36" t="s">
        <v>403</v>
      </c>
      <c r="G29" s="106"/>
      <c r="H29" s="106"/>
      <c r="I29" s="106"/>
      <c r="J29" s="106"/>
      <c r="K29" s="106" t="s">
        <v>316</v>
      </c>
      <c r="L29" s="106"/>
      <c r="M29" s="106"/>
      <c r="N29" s="106"/>
      <c r="O29" s="106"/>
      <c r="P29" s="106" t="s">
        <v>708</v>
      </c>
      <c r="Q29" s="28"/>
    </row>
    <row r="30" spans="1:17" x14ac:dyDescent="0.2">
      <c r="A30" s="50" t="s">
        <v>1736</v>
      </c>
      <c r="B30" s="36" t="s">
        <v>1737</v>
      </c>
      <c r="C30" s="36" t="s">
        <v>1717</v>
      </c>
      <c r="D30" s="36" t="s">
        <v>720</v>
      </c>
      <c r="E30" s="36" t="s">
        <v>314</v>
      </c>
      <c r="F30" s="36" t="s">
        <v>400</v>
      </c>
      <c r="G30" s="106"/>
      <c r="H30" s="106"/>
      <c r="I30" s="106"/>
      <c r="J30" s="106"/>
      <c r="K30" s="106" t="s">
        <v>316</v>
      </c>
      <c r="L30" s="106"/>
      <c r="M30" s="106"/>
      <c r="N30" s="106"/>
      <c r="O30" s="106"/>
      <c r="P30" s="106" t="s">
        <v>708</v>
      </c>
      <c r="Q30" s="28"/>
    </row>
    <row r="31" spans="1:17" ht="26" x14ac:dyDescent="0.2">
      <c r="A31" s="50" t="s">
        <v>1738</v>
      </c>
      <c r="B31" s="36" t="s">
        <v>1739</v>
      </c>
      <c r="C31" s="36" t="s">
        <v>1717</v>
      </c>
      <c r="D31" s="36" t="s">
        <v>720</v>
      </c>
      <c r="E31" s="36" t="s">
        <v>314</v>
      </c>
      <c r="F31" s="36" t="s">
        <v>233</v>
      </c>
      <c r="G31" s="106"/>
      <c r="H31" s="106"/>
      <c r="I31" s="106"/>
      <c r="J31" s="106"/>
      <c r="K31" s="106" t="s">
        <v>316</v>
      </c>
      <c r="L31" s="106"/>
      <c r="M31" s="106"/>
      <c r="N31" s="106"/>
      <c r="O31" s="106"/>
      <c r="P31" s="106" t="s">
        <v>708</v>
      </c>
      <c r="Q31" s="28"/>
    </row>
    <row r="32" spans="1:17" x14ac:dyDescent="0.2">
      <c r="A32" s="50" t="s">
        <v>1740</v>
      </c>
      <c r="B32" s="36" t="s">
        <v>1741</v>
      </c>
      <c r="C32" s="36" t="s">
        <v>1717</v>
      </c>
      <c r="D32" s="36" t="s">
        <v>720</v>
      </c>
      <c r="E32" s="36" t="s">
        <v>314</v>
      </c>
      <c r="F32" s="36" t="s">
        <v>231</v>
      </c>
      <c r="G32" s="106"/>
      <c r="H32" s="106"/>
      <c r="I32" s="106"/>
      <c r="J32" s="106"/>
      <c r="K32" s="106" t="s">
        <v>316</v>
      </c>
      <c r="L32" s="106"/>
      <c r="M32" s="106"/>
      <c r="N32" s="106"/>
      <c r="O32" s="106"/>
      <c r="P32" s="106" t="s">
        <v>708</v>
      </c>
      <c r="Q32" s="28"/>
    </row>
    <row r="33" spans="1:17" x14ac:dyDescent="0.2">
      <c r="A33" s="50" t="s">
        <v>1742</v>
      </c>
      <c r="B33" s="36" t="s">
        <v>1743</v>
      </c>
      <c r="C33" s="36" t="s">
        <v>1744</v>
      </c>
      <c r="D33" s="36" t="s">
        <v>720</v>
      </c>
      <c r="E33" s="36" t="s">
        <v>1745</v>
      </c>
      <c r="F33" s="36" t="s">
        <v>342</v>
      </c>
      <c r="G33" s="106"/>
      <c r="H33" s="106"/>
      <c r="I33" s="106"/>
      <c r="J33" s="106"/>
      <c r="K33" s="106" t="s">
        <v>316</v>
      </c>
      <c r="L33" s="106"/>
      <c r="M33" s="106"/>
      <c r="N33" s="106"/>
      <c r="O33" s="106"/>
      <c r="P33" s="106" t="s">
        <v>708</v>
      </c>
      <c r="Q33" s="28"/>
    </row>
    <row r="34" spans="1:17" x14ac:dyDescent="0.2">
      <c r="A34" s="50" t="s">
        <v>1746</v>
      </c>
      <c r="B34" s="36" t="s">
        <v>1743</v>
      </c>
      <c r="C34" s="36" t="s">
        <v>1744</v>
      </c>
      <c r="D34" s="36" t="s">
        <v>720</v>
      </c>
      <c r="E34" s="36" t="s">
        <v>1745</v>
      </c>
      <c r="F34" s="36" t="s">
        <v>342</v>
      </c>
      <c r="G34" s="106"/>
      <c r="H34" s="106"/>
      <c r="I34" s="106"/>
      <c r="J34" s="106"/>
      <c r="K34" s="106" t="s">
        <v>316</v>
      </c>
      <c r="L34" s="106"/>
      <c r="M34" s="106"/>
      <c r="N34" s="106"/>
      <c r="O34" s="106"/>
      <c r="P34" s="106" t="s">
        <v>708</v>
      </c>
      <c r="Q34" s="28"/>
    </row>
    <row r="35" spans="1:17" x14ac:dyDescent="0.2">
      <c r="A35" s="50" t="s">
        <v>1747</v>
      </c>
      <c r="B35" s="36" t="s">
        <v>1743</v>
      </c>
      <c r="C35" s="36" t="s">
        <v>1744</v>
      </c>
      <c r="D35" s="36" t="s">
        <v>720</v>
      </c>
      <c r="E35" s="36" t="s">
        <v>1745</v>
      </c>
      <c r="F35" s="36" t="s">
        <v>342</v>
      </c>
      <c r="G35" s="106"/>
      <c r="H35" s="106"/>
      <c r="I35" s="106"/>
      <c r="J35" s="106"/>
      <c r="K35" s="106" t="s">
        <v>316</v>
      </c>
      <c r="L35" s="106"/>
      <c r="M35" s="106"/>
      <c r="N35" s="106"/>
      <c r="O35" s="106"/>
      <c r="P35" s="106" t="s">
        <v>708</v>
      </c>
      <c r="Q35" s="28"/>
    </row>
    <row r="36" spans="1:17" x14ac:dyDescent="0.2">
      <c r="A36" s="50" t="s">
        <v>1748</v>
      </c>
      <c r="B36" s="36" t="s">
        <v>1743</v>
      </c>
      <c r="C36" s="36" t="s">
        <v>1744</v>
      </c>
      <c r="D36" s="36" t="s">
        <v>720</v>
      </c>
      <c r="E36" s="36" t="s">
        <v>1745</v>
      </c>
      <c r="F36" s="36" t="s">
        <v>342</v>
      </c>
      <c r="G36" s="106"/>
      <c r="H36" s="106"/>
      <c r="I36" s="106"/>
      <c r="J36" s="106"/>
      <c r="K36" s="106" t="s">
        <v>316</v>
      </c>
      <c r="L36" s="106"/>
      <c r="M36" s="106"/>
      <c r="N36" s="106"/>
      <c r="O36" s="106"/>
      <c r="P36" s="106" t="s">
        <v>708</v>
      </c>
      <c r="Q36" s="28"/>
    </row>
    <row r="37" spans="1:17" x14ac:dyDescent="0.2">
      <c r="A37" s="50" t="s">
        <v>1749</v>
      </c>
      <c r="B37" s="36" t="s">
        <v>1750</v>
      </c>
      <c r="C37" s="36" t="s">
        <v>1751</v>
      </c>
      <c r="D37" s="36" t="s">
        <v>720</v>
      </c>
      <c r="E37" s="36" t="s">
        <v>1745</v>
      </c>
      <c r="F37" s="36" t="s">
        <v>342</v>
      </c>
      <c r="G37" s="106"/>
      <c r="H37" s="106"/>
      <c r="I37" s="106"/>
      <c r="J37" s="106"/>
      <c r="K37" s="106" t="s">
        <v>316</v>
      </c>
      <c r="L37" s="106"/>
      <c r="M37" s="106"/>
      <c r="N37" s="106"/>
      <c r="O37" s="106"/>
      <c r="P37" s="106" t="s">
        <v>708</v>
      </c>
      <c r="Q37" s="28"/>
    </row>
    <row r="38" spans="1:17" x14ac:dyDescent="0.2">
      <c r="A38" s="50" t="s">
        <v>1752</v>
      </c>
      <c r="B38" s="36" t="s">
        <v>1753</v>
      </c>
      <c r="C38" s="36" t="s">
        <v>1754</v>
      </c>
      <c r="D38" s="36" t="s">
        <v>720</v>
      </c>
      <c r="E38" s="36" t="s">
        <v>1755</v>
      </c>
      <c r="F38" s="36" t="s">
        <v>327</v>
      </c>
      <c r="G38" s="106"/>
      <c r="H38" s="106"/>
      <c r="I38" s="106"/>
      <c r="J38" s="106"/>
      <c r="K38" s="106" t="s">
        <v>316</v>
      </c>
      <c r="L38" s="106"/>
      <c r="M38" s="106"/>
      <c r="N38" s="106"/>
      <c r="O38" s="106"/>
      <c r="P38" s="106" t="s">
        <v>708</v>
      </c>
      <c r="Q38" s="28"/>
    </row>
    <row r="39" spans="1:17" x14ac:dyDescent="0.2">
      <c r="A39" s="50" t="s">
        <v>1756</v>
      </c>
      <c r="B39" s="36" t="s">
        <v>1757</v>
      </c>
      <c r="C39" s="36" t="s">
        <v>1717</v>
      </c>
      <c r="D39" s="36" t="s">
        <v>720</v>
      </c>
      <c r="E39" s="36" t="s">
        <v>1758</v>
      </c>
      <c r="F39" s="36" t="s">
        <v>365</v>
      </c>
      <c r="G39" s="106"/>
      <c r="H39" s="106"/>
      <c r="I39" s="106"/>
      <c r="J39" s="106"/>
      <c r="K39" s="106" t="s">
        <v>316</v>
      </c>
      <c r="L39" s="106"/>
      <c r="M39" s="106"/>
      <c r="N39" s="106"/>
      <c r="O39" s="106"/>
      <c r="P39" s="106" t="s">
        <v>708</v>
      </c>
      <c r="Q39" s="28"/>
    </row>
    <row r="40" spans="1:17" x14ac:dyDescent="0.2">
      <c r="A40" s="50" t="s">
        <v>1759</v>
      </c>
      <c r="B40" s="36" t="s">
        <v>1760</v>
      </c>
      <c r="C40" s="36" t="s">
        <v>1761</v>
      </c>
      <c r="D40" s="36" t="s">
        <v>720</v>
      </c>
      <c r="E40" s="36" t="s">
        <v>1762</v>
      </c>
      <c r="F40" s="36" t="s">
        <v>365</v>
      </c>
      <c r="G40" s="106"/>
      <c r="H40" s="106"/>
      <c r="I40" s="106"/>
      <c r="J40" s="106"/>
      <c r="K40" s="106" t="s">
        <v>316</v>
      </c>
      <c r="L40" s="106"/>
      <c r="M40" s="106"/>
      <c r="N40" s="106"/>
      <c r="O40" s="106"/>
      <c r="P40" s="106" t="s">
        <v>708</v>
      </c>
      <c r="Q40" s="28"/>
    </row>
    <row r="41" spans="1:17" x14ac:dyDescent="0.2">
      <c r="A41" s="176" t="s">
        <v>1763</v>
      </c>
      <c r="B41" s="172" t="s">
        <v>1764</v>
      </c>
      <c r="C41" s="172" t="s">
        <v>827</v>
      </c>
      <c r="D41" s="172" t="s">
        <v>1765</v>
      </c>
      <c r="E41" s="172" t="s">
        <v>309</v>
      </c>
      <c r="F41" s="172" t="s">
        <v>364</v>
      </c>
      <c r="G41" s="173"/>
      <c r="H41" s="173"/>
      <c r="I41" s="173"/>
      <c r="J41" s="173"/>
      <c r="K41" s="173" t="s">
        <v>316</v>
      </c>
      <c r="L41" s="173"/>
      <c r="M41" s="173"/>
      <c r="N41" s="173"/>
      <c r="O41" s="173"/>
      <c r="P41" s="173" t="s">
        <v>708</v>
      </c>
      <c r="Q41" s="174"/>
    </row>
    <row r="42" spans="1:17" x14ac:dyDescent="0.2">
      <c r="A42" s="176" t="s">
        <v>1766</v>
      </c>
      <c r="B42" s="172" t="s">
        <v>1767</v>
      </c>
      <c r="C42" s="172" t="s">
        <v>827</v>
      </c>
      <c r="D42" s="172" t="s">
        <v>1765</v>
      </c>
      <c r="E42" s="172" t="s">
        <v>1768</v>
      </c>
      <c r="F42" s="172" t="s">
        <v>364</v>
      </c>
      <c r="G42" s="173"/>
      <c r="H42" s="173"/>
      <c r="I42" s="173"/>
      <c r="J42" s="173"/>
      <c r="K42" s="173" t="s">
        <v>316</v>
      </c>
      <c r="L42" s="173"/>
      <c r="M42" s="173"/>
      <c r="N42" s="173"/>
      <c r="O42" s="173"/>
      <c r="P42" s="173" t="s">
        <v>708</v>
      </c>
      <c r="Q42" s="174"/>
    </row>
    <row r="43" spans="1:17" x14ac:dyDescent="0.2">
      <c r="A43" s="176" t="s">
        <v>1769</v>
      </c>
      <c r="B43" s="172" t="s">
        <v>1770</v>
      </c>
      <c r="C43" s="172" t="s">
        <v>827</v>
      </c>
      <c r="D43" s="172" t="s">
        <v>1765</v>
      </c>
      <c r="E43" s="172" t="s">
        <v>309</v>
      </c>
      <c r="F43" s="172" t="s">
        <v>364</v>
      </c>
      <c r="G43" s="173"/>
      <c r="H43" s="173"/>
      <c r="I43" s="173"/>
      <c r="J43" s="173"/>
      <c r="K43" s="173" t="s">
        <v>316</v>
      </c>
      <c r="L43" s="173"/>
      <c r="M43" s="173"/>
      <c r="N43" s="173"/>
      <c r="O43" s="173"/>
      <c r="P43" s="173" t="s">
        <v>708</v>
      </c>
      <c r="Q43" s="174"/>
    </row>
    <row r="44" spans="1:17" x14ac:dyDescent="0.2">
      <c r="A44" s="176" t="s">
        <v>1771</v>
      </c>
      <c r="B44" s="172" t="s">
        <v>1772</v>
      </c>
      <c r="C44" s="172" t="s">
        <v>827</v>
      </c>
      <c r="D44" s="172" t="s">
        <v>1765</v>
      </c>
      <c r="E44" s="172" t="s">
        <v>1729</v>
      </c>
      <c r="F44" s="172" t="s">
        <v>364</v>
      </c>
      <c r="G44" s="173"/>
      <c r="H44" s="173"/>
      <c r="I44" s="173"/>
      <c r="J44" s="173"/>
      <c r="K44" s="173" t="s">
        <v>316</v>
      </c>
      <c r="L44" s="173"/>
      <c r="M44" s="173"/>
      <c r="N44" s="173"/>
      <c r="O44" s="173"/>
      <c r="P44" s="173" t="s">
        <v>708</v>
      </c>
      <c r="Q44" s="174"/>
    </row>
    <row r="45" spans="1:17" x14ac:dyDescent="0.2">
      <c r="A45" s="50"/>
      <c r="B45" s="36"/>
      <c r="C45" s="36"/>
      <c r="D45" s="36"/>
      <c r="E45" s="36"/>
      <c r="F45" s="36"/>
      <c r="G45" s="106"/>
      <c r="H45" s="106"/>
      <c r="I45" s="106"/>
      <c r="J45" s="106"/>
      <c r="K45" s="106"/>
      <c r="L45" s="106"/>
      <c r="M45" s="106"/>
      <c r="N45" s="106"/>
      <c r="O45" s="106"/>
      <c r="P45" s="106"/>
      <c r="Q45" s="28"/>
    </row>
    <row r="46" spans="1:17" x14ac:dyDescent="0.2">
      <c r="A46" s="50"/>
      <c r="B46" s="36"/>
      <c r="C46" s="36"/>
      <c r="D46" s="36"/>
      <c r="E46" s="36"/>
      <c r="F46" s="36"/>
      <c r="G46" s="106"/>
      <c r="H46" s="106"/>
      <c r="I46" s="106"/>
      <c r="J46" s="106"/>
      <c r="K46" s="106"/>
      <c r="L46" s="106"/>
      <c r="M46" s="106"/>
      <c r="N46" s="106"/>
      <c r="O46" s="106"/>
      <c r="P46" s="106"/>
      <c r="Q46" s="28"/>
    </row>
    <row r="47" spans="1:17" x14ac:dyDescent="0.2">
      <c r="A47" s="50"/>
      <c r="B47" s="36"/>
      <c r="C47" s="36"/>
      <c r="D47" s="36"/>
      <c r="E47" s="36"/>
      <c r="F47" s="36"/>
      <c r="G47" s="106"/>
      <c r="H47" s="106"/>
      <c r="I47" s="106"/>
      <c r="J47" s="106"/>
      <c r="K47" s="106"/>
      <c r="L47" s="106"/>
      <c r="M47" s="106"/>
      <c r="N47" s="106"/>
      <c r="O47" s="106"/>
      <c r="P47" s="106"/>
      <c r="Q47" s="28"/>
    </row>
    <row r="48" spans="1:17" x14ac:dyDescent="0.2">
      <c r="A48" s="50"/>
      <c r="B48" s="36"/>
      <c r="C48" s="36"/>
      <c r="D48" s="36"/>
      <c r="E48" s="36"/>
      <c r="F48" s="36"/>
      <c r="G48" s="106"/>
      <c r="H48" s="106"/>
      <c r="I48" s="106"/>
      <c r="J48" s="106"/>
      <c r="K48" s="106"/>
      <c r="L48" s="106"/>
      <c r="M48" s="106"/>
      <c r="N48" s="106"/>
      <c r="O48" s="106"/>
      <c r="P48" s="106"/>
      <c r="Q48" s="28"/>
    </row>
    <row r="49" spans="1:17" x14ac:dyDescent="0.2">
      <c r="A49" s="50"/>
      <c r="B49" s="36"/>
      <c r="C49" s="36"/>
      <c r="D49" s="36"/>
      <c r="E49" s="36"/>
      <c r="F49" s="36"/>
      <c r="G49" s="106"/>
      <c r="H49" s="106"/>
      <c r="I49" s="106"/>
      <c r="J49" s="106"/>
      <c r="K49" s="106"/>
      <c r="L49" s="106"/>
      <c r="M49" s="106"/>
      <c r="N49" s="106"/>
      <c r="O49" s="106"/>
      <c r="P49" s="106"/>
      <c r="Q49" s="28"/>
    </row>
    <row r="50" spans="1:17" x14ac:dyDescent="0.2">
      <c r="A50" s="51"/>
      <c r="B50" s="107"/>
      <c r="C50" s="107"/>
      <c r="D50" s="107"/>
      <c r="E50" s="107"/>
      <c r="F50" s="107"/>
      <c r="G50" s="109"/>
      <c r="H50" s="109"/>
      <c r="I50" s="109"/>
      <c r="J50" s="109"/>
      <c r="K50" s="109"/>
      <c r="L50" s="109"/>
      <c r="M50" s="109"/>
      <c r="N50" s="109"/>
      <c r="O50" s="109"/>
      <c r="P50" s="109"/>
      <c r="Q50" s="29"/>
    </row>
  </sheetData>
  <mergeCells count="2">
    <mergeCell ref="A1:Q1"/>
    <mergeCell ref="A2:Q2"/>
  </mergeCells>
  <conditionalFormatting sqref="G7:I50">
    <cfRule type="containsText" dxfId="103" priority="1" operator="containsText" text="Yes">
      <formula>NOT(ISERROR(SEARCH("Yes",G7)))</formula>
    </cfRule>
    <cfRule type="containsText" dxfId="102" priority="2" operator="containsText" text="No">
      <formula>NOT(ISERROR(SEARCH("No",G7)))</formula>
    </cfRule>
  </conditionalFormatting>
  <conditionalFormatting sqref="J7:J50">
    <cfRule type="containsText" dxfId="101" priority="15" operator="containsText" text="Pass">
      <formula>NOT(ISERROR(SEARCH("Pass",J7)))</formula>
    </cfRule>
    <cfRule type="containsText" dxfId="100" priority="16" operator="containsText" text="Fail">
      <formula>NOT(ISERROR(SEARCH("Fail",J7)))</formula>
    </cfRule>
  </conditionalFormatting>
  <conditionalFormatting sqref="L7:O50">
    <cfRule type="containsText" dxfId="99" priority="7" operator="containsText" text="Yes">
      <formula>NOT(ISERROR(SEARCH("Yes",L7)))</formula>
    </cfRule>
    <cfRule type="containsText" dxfId="98" priority="8" operator="containsText" text="No">
      <formula>NOT(ISERROR(SEARCH("No",L7)))</formula>
    </cfRule>
  </conditionalFormatting>
  <conditionalFormatting sqref="P7:P50">
    <cfRule type="containsText" dxfId="97" priority="17" operator="containsText" text="Accepted">
      <formula>NOT(ISERROR(SEARCH("Accepted",P7)))</formula>
    </cfRule>
    <cfRule type="containsText" dxfId="96" priority="18" operator="containsText" text="Tested">
      <formula>NOT(ISERROR(SEARCH("Tested",P7)))</formula>
    </cfRule>
  </conditionalFormatting>
  <dataValidations count="3">
    <dataValidation type="list" allowBlank="1" showInputMessage="1" showErrorMessage="1" sqref="G7:G50 H7:H50 I7:I50 K7:K50 L7:L50 M7:M50 N7:N50 O7:O50" xr:uid="{9F32EB74-F973-5546-88DB-A61052B4D61F}">
      <formula1>"Yes,No,N/A"</formula1>
    </dataValidation>
    <dataValidation type="list" allowBlank="1" showInputMessage="1" showErrorMessage="1" sqref="J7:J50" xr:uid="{74C2AA2B-41C6-1E4E-A04B-0BFC7106949C}">
      <formula1>"Pass,Fail,Pending,N/A"</formula1>
    </dataValidation>
    <dataValidation type="list" allowBlank="1" showInputMessage="1" showErrorMessage="1" sqref="P7:P50" xr:uid="{69B8BC6D-29E0-F54D-B6D1-A3942EF51207}">
      <formula1>"Not Started,In Progress,Ready for Cx,Tested,Accepted,N/A"</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E9208-17CF-8D4D-901B-75F179ABD9ED}">
  <dimension ref="A1:P55"/>
  <sheetViews>
    <sheetView workbookViewId="0">
      <pane ySplit="6" topLeftCell="A32" activePane="bottomLeft" state="frozen"/>
      <selection pane="bottomLeft" sqref="A1:P1"/>
    </sheetView>
  </sheetViews>
  <sheetFormatPr baseColWidth="10" defaultColWidth="11" defaultRowHeight="16" x14ac:dyDescent="0.2"/>
  <cols>
    <col min="1" max="1" width="11.6640625" style="3" customWidth="1"/>
    <col min="2" max="2" width="16.6640625" style="3" customWidth="1"/>
    <col min="3" max="3" width="53.33203125" style="3" customWidth="1"/>
    <col min="4" max="4" width="15" style="3" customWidth="1"/>
    <col min="5" max="5" width="13" style="3" customWidth="1"/>
    <col min="6" max="6" width="25" style="3" customWidth="1"/>
    <col min="7" max="7" width="10.33203125" style="3" customWidth="1"/>
    <col min="8" max="9" width="14.1640625" style="3" customWidth="1"/>
    <col min="10" max="10" width="25" style="3" customWidth="1"/>
    <col min="11" max="11" width="14.1640625" style="3" customWidth="1"/>
    <col min="12" max="12" width="20" style="3" customWidth="1"/>
    <col min="13" max="13" width="15" style="3" customWidth="1"/>
    <col min="14" max="14" width="15.83203125" style="3" customWidth="1"/>
    <col min="15" max="15" width="13.33203125" style="3" customWidth="1"/>
    <col min="16" max="16" width="28.33203125" style="3" customWidth="1"/>
  </cols>
  <sheetData>
    <row r="1" spans="1:16" ht="26" customHeight="1" x14ac:dyDescent="0.2">
      <c r="A1" s="249" t="s">
        <v>1773</v>
      </c>
      <c r="B1" s="249"/>
      <c r="C1" s="249"/>
      <c r="D1" s="249"/>
      <c r="E1" s="249"/>
      <c r="F1" s="249"/>
      <c r="G1" s="249"/>
      <c r="H1" s="249"/>
      <c r="I1" s="249"/>
      <c r="J1" s="249"/>
      <c r="K1" s="249"/>
      <c r="L1" s="249"/>
      <c r="M1" s="249"/>
      <c r="N1" s="249"/>
      <c r="O1" s="249"/>
      <c r="P1" s="249"/>
    </row>
    <row r="2" spans="1:16" ht="34" customHeight="1" x14ac:dyDescent="0.2">
      <c r="A2" s="257" t="s">
        <v>1774</v>
      </c>
      <c r="B2" s="257"/>
      <c r="C2" s="257"/>
      <c r="D2" s="257"/>
      <c r="E2" s="257"/>
      <c r="F2" s="257"/>
      <c r="G2" s="257"/>
      <c r="H2" s="257"/>
      <c r="I2" s="257"/>
      <c r="J2" s="257"/>
      <c r="K2" s="257"/>
      <c r="L2" s="257"/>
      <c r="M2" s="257"/>
      <c r="N2" s="257"/>
      <c r="O2" s="257"/>
      <c r="P2" s="257"/>
    </row>
    <row r="3" spans="1:16" x14ac:dyDescent="0.2">
      <c r="A3" s="4"/>
      <c r="B3" s="4"/>
      <c r="C3" s="4"/>
      <c r="D3" s="4"/>
      <c r="E3" s="4"/>
      <c r="F3" s="4"/>
      <c r="G3" s="4"/>
      <c r="H3" s="4"/>
      <c r="I3" s="4"/>
      <c r="J3" s="4"/>
      <c r="K3" s="4"/>
      <c r="L3" s="4"/>
      <c r="M3" s="4"/>
      <c r="N3" s="4"/>
      <c r="O3" s="4"/>
      <c r="P3" s="4"/>
    </row>
    <row r="4" spans="1:16" ht="22" customHeight="1" x14ac:dyDescent="0.2">
      <c r="A4" s="110" t="s">
        <v>128</v>
      </c>
      <c r="B4" s="126">
        <f>COUNTA($A$7:$A$80)</f>
        <v>39</v>
      </c>
      <c r="C4" s="110" t="s">
        <v>1775</v>
      </c>
      <c r="D4" s="126">
        <f>COUNTIF($L$7:$L$80,"Approved")+COUNTIF($L$7:$L$80,"Approved as Noted")</f>
        <v>0</v>
      </c>
      <c r="E4" s="110" t="s">
        <v>1776</v>
      </c>
      <c r="F4" s="110"/>
      <c r="G4" s="126">
        <f>COUNTIF($L$7:$L$80,"Revise &amp; Resubmit")+COUNTIF($L$7:$L$80,"Rejected")</f>
        <v>0</v>
      </c>
      <c r="H4" s="110" t="s">
        <v>689</v>
      </c>
      <c r="I4" s="126">
        <f>$B$4-$D$4</f>
        <v>39</v>
      </c>
      <c r="J4" s="110" t="s">
        <v>1777</v>
      </c>
      <c r="K4" s="110"/>
      <c r="L4" s="126">
        <f>COUNTIF($G$7:$G$80,"Yes")</f>
        <v>8</v>
      </c>
      <c r="M4" s="4"/>
      <c r="N4" s="4"/>
      <c r="O4" s="4"/>
      <c r="P4" s="4"/>
    </row>
    <row r="5" spans="1:16" x14ac:dyDescent="0.2">
      <c r="A5" s="4"/>
      <c r="B5" s="4"/>
      <c r="C5" s="4"/>
      <c r="D5" s="4"/>
      <c r="E5" s="4"/>
      <c r="F5" s="4"/>
      <c r="G5" s="4"/>
      <c r="H5" s="4"/>
      <c r="I5" s="4"/>
      <c r="J5" s="4"/>
      <c r="K5" s="4"/>
      <c r="L5" s="4"/>
      <c r="M5" s="4"/>
      <c r="N5" s="4"/>
      <c r="O5" s="4"/>
      <c r="P5" s="4"/>
    </row>
    <row r="6" spans="1:16" ht="44" customHeight="1" x14ac:dyDescent="0.2">
      <c r="A6" s="48" t="s">
        <v>968</v>
      </c>
      <c r="B6" s="48" t="s">
        <v>1778</v>
      </c>
      <c r="C6" s="48" t="s">
        <v>1779</v>
      </c>
      <c r="D6" s="48" t="s">
        <v>241</v>
      </c>
      <c r="E6" s="48" t="s">
        <v>185</v>
      </c>
      <c r="F6" s="48" t="s">
        <v>1780</v>
      </c>
      <c r="G6" s="48" t="s">
        <v>1781</v>
      </c>
      <c r="H6" s="48" t="s">
        <v>1782</v>
      </c>
      <c r="I6" s="48" t="s">
        <v>1783</v>
      </c>
      <c r="J6" s="48" t="s">
        <v>1784</v>
      </c>
      <c r="K6" s="48" t="s">
        <v>1785</v>
      </c>
      <c r="L6" s="48" t="s">
        <v>1786</v>
      </c>
      <c r="M6" s="48" t="s">
        <v>1787</v>
      </c>
      <c r="N6" s="48" t="s">
        <v>1788</v>
      </c>
      <c r="O6" s="48" t="s">
        <v>448</v>
      </c>
      <c r="P6" s="48" t="s">
        <v>299</v>
      </c>
    </row>
    <row r="7" spans="1:16" ht="26" x14ac:dyDescent="0.2">
      <c r="A7" s="114" t="s">
        <v>1789</v>
      </c>
      <c r="B7" s="115" t="s">
        <v>350</v>
      </c>
      <c r="C7" s="115" t="s">
        <v>1790</v>
      </c>
      <c r="D7" s="115" t="s">
        <v>1791</v>
      </c>
      <c r="E7" s="115" t="s">
        <v>348</v>
      </c>
      <c r="F7" s="115" t="s">
        <v>1792</v>
      </c>
      <c r="G7" s="129" t="s">
        <v>304</v>
      </c>
      <c r="H7" s="116"/>
      <c r="I7" s="116"/>
      <c r="J7" s="117" t="s">
        <v>45</v>
      </c>
      <c r="K7" s="116"/>
      <c r="L7" s="117"/>
      <c r="M7" s="117"/>
      <c r="N7" s="116"/>
      <c r="O7" s="117" t="s">
        <v>1437</v>
      </c>
      <c r="P7" s="118"/>
    </row>
    <row r="8" spans="1:16" x14ac:dyDescent="0.2">
      <c r="A8" s="32" t="s">
        <v>1793</v>
      </c>
      <c r="B8" s="36" t="s">
        <v>356</v>
      </c>
      <c r="C8" s="36" t="s">
        <v>1794</v>
      </c>
      <c r="D8" s="36" t="s">
        <v>1795</v>
      </c>
      <c r="E8" s="36" t="s">
        <v>354</v>
      </c>
      <c r="F8" s="36" t="s">
        <v>1792</v>
      </c>
      <c r="G8" s="131" t="s">
        <v>316</v>
      </c>
      <c r="H8" s="105"/>
      <c r="I8" s="105"/>
      <c r="J8" s="106" t="s">
        <v>45</v>
      </c>
      <c r="K8" s="105"/>
      <c r="L8" s="106"/>
      <c r="M8" s="106"/>
      <c r="N8" s="105"/>
      <c r="O8" s="106" t="s">
        <v>1437</v>
      </c>
      <c r="P8" s="28"/>
    </row>
    <row r="9" spans="1:16" x14ac:dyDescent="0.2">
      <c r="A9" s="32" t="s">
        <v>1796</v>
      </c>
      <c r="B9" s="36" t="s">
        <v>361</v>
      </c>
      <c r="C9" s="36" t="s">
        <v>1797</v>
      </c>
      <c r="D9" s="36" t="s">
        <v>1795</v>
      </c>
      <c r="E9" s="36" t="s">
        <v>359</v>
      </c>
      <c r="F9" s="36" t="s">
        <v>1792</v>
      </c>
      <c r="G9" s="131" t="s">
        <v>316</v>
      </c>
      <c r="H9" s="105"/>
      <c r="I9" s="105"/>
      <c r="J9" s="106" t="s">
        <v>45</v>
      </c>
      <c r="K9" s="105"/>
      <c r="L9" s="106"/>
      <c r="M9" s="106"/>
      <c r="N9" s="105"/>
      <c r="O9" s="106" t="s">
        <v>1437</v>
      </c>
      <c r="P9" s="28"/>
    </row>
    <row r="10" spans="1:16" ht="26" x14ac:dyDescent="0.2">
      <c r="A10" s="32" t="s">
        <v>1798</v>
      </c>
      <c r="B10" s="36" t="s">
        <v>323</v>
      </c>
      <c r="C10" s="36" t="s">
        <v>1799</v>
      </c>
      <c r="D10" s="36" t="s">
        <v>1791</v>
      </c>
      <c r="E10" s="36" t="s">
        <v>225</v>
      </c>
      <c r="F10" s="36" t="s">
        <v>911</v>
      </c>
      <c r="G10" s="131" t="s">
        <v>304</v>
      </c>
      <c r="H10" s="105"/>
      <c r="I10" s="105"/>
      <c r="J10" s="106" t="s">
        <v>45</v>
      </c>
      <c r="K10" s="105"/>
      <c r="L10" s="106"/>
      <c r="M10" s="106"/>
      <c r="N10" s="105"/>
      <c r="O10" s="106" t="s">
        <v>1437</v>
      </c>
      <c r="P10" s="28"/>
    </row>
    <row r="11" spans="1:16" x14ac:dyDescent="0.2">
      <c r="A11" s="32" t="s">
        <v>1800</v>
      </c>
      <c r="B11" s="36" t="s">
        <v>405</v>
      </c>
      <c r="C11" s="36" t="s">
        <v>1735</v>
      </c>
      <c r="D11" s="36" t="s">
        <v>1795</v>
      </c>
      <c r="E11" s="36" t="s">
        <v>403</v>
      </c>
      <c r="F11" s="36" t="s">
        <v>911</v>
      </c>
      <c r="G11" s="131" t="s">
        <v>316</v>
      </c>
      <c r="H11" s="105"/>
      <c r="I11" s="105"/>
      <c r="J11" s="106" t="s">
        <v>45</v>
      </c>
      <c r="K11" s="105"/>
      <c r="L11" s="106"/>
      <c r="M11" s="106"/>
      <c r="N11" s="105"/>
      <c r="O11" s="106" t="s">
        <v>1437</v>
      </c>
      <c r="P11" s="28"/>
    </row>
    <row r="12" spans="1:16" x14ac:dyDescent="0.2">
      <c r="A12" s="32" t="s">
        <v>1801</v>
      </c>
      <c r="B12" s="36" t="s">
        <v>1802</v>
      </c>
      <c r="C12" s="36" t="s">
        <v>1803</v>
      </c>
      <c r="D12" s="36" t="s">
        <v>1791</v>
      </c>
      <c r="E12" s="36" t="s">
        <v>403</v>
      </c>
      <c r="F12" s="36" t="s">
        <v>911</v>
      </c>
      <c r="G12" s="131" t="s">
        <v>304</v>
      </c>
      <c r="H12" s="105"/>
      <c r="I12" s="105"/>
      <c r="J12" s="106" t="s">
        <v>42</v>
      </c>
      <c r="K12" s="105"/>
      <c r="L12" s="106"/>
      <c r="M12" s="106"/>
      <c r="N12" s="105"/>
      <c r="O12" s="106" t="s">
        <v>1437</v>
      </c>
      <c r="P12" s="28"/>
    </row>
    <row r="13" spans="1:16" x14ac:dyDescent="0.2">
      <c r="A13" s="32" t="s">
        <v>1804</v>
      </c>
      <c r="B13" s="36" t="s">
        <v>313</v>
      </c>
      <c r="C13" s="36" t="s">
        <v>1805</v>
      </c>
      <c r="D13" s="36" t="s">
        <v>1795</v>
      </c>
      <c r="E13" s="36" t="s">
        <v>233</v>
      </c>
      <c r="F13" s="36" t="s">
        <v>763</v>
      </c>
      <c r="G13" s="131" t="s">
        <v>316</v>
      </c>
      <c r="H13" s="105"/>
      <c r="I13" s="105"/>
      <c r="J13" s="106" t="s">
        <v>45</v>
      </c>
      <c r="K13" s="105"/>
      <c r="L13" s="106"/>
      <c r="M13" s="106"/>
      <c r="N13" s="105"/>
      <c r="O13" s="106" t="s">
        <v>1437</v>
      </c>
      <c r="P13" s="28"/>
    </row>
    <row r="14" spans="1:16" x14ac:dyDescent="0.2">
      <c r="A14" s="32" t="s">
        <v>1806</v>
      </c>
      <c r="B14" s="36" t="s">
        <v>320</v>
      </c>
      <c r="C14" s="36" t="s">
        <v>1807</v>
      </c>
      <c r="D14" s="36" t="s">
        <v>1795</v>
      </c>
      <c r="E14" s="36" t="s">
        <v>231</v>
      </c>
      <c r="F14" s="36" t="s">
        <v>1808</v>
      </c>
      <c r="G14" s="131" t="s">
        <v>316</v>
      </c>
      <c r="H14" s="105"/>
      <c r="I14" s="105"/>
      <c r="J14" s="106" t="s">
        <v>45</v>
      </c>
      <c r="K14" s="105"/>
      <c r="L14" s="106"/>
      <c r="M14" s="106"/>
      <c r="N14" s="105"/>
      <c r="O14" s="106" t="s">
        <v>1437</v>
      </c>
      <c r="P14" s="28"/>
    </row>
    <row r="15" spans="1:16" x14ac:dyDescent="0.2">
      <c r="A15" s="32" t="s">
        <v>1809</v>
      </c>
      <c r="B15" s="36" t="s">
        <v>344</v>
      </c>
      <c r="C15" s="36" t="s">
        <v>343</v>
      </c>
      <c r="D15" s="36" t="s">
        <v>1791</v>
      </c>
      <c r="E15" s="36" t="s">
        <v>342</v>
      </c>
      <c r="F15" s="36" t="s">
        <v>1810</v>
      </c>
      <c r="G15" s="131" t="s">
        <v>304</v>
      </c>
      <c r="H15" s="105"/>
      <c r="I15" s="105"/>
      <c r="J15" s="106" t="s">
        <v>45</v>
      </c>
      <c r="K15" s="105"/>
      <c r="L15" s="106"/>
      <c r="M15" s="106"/>
      <c r="N15" s="105"/>
      <c r="O15" s="106" t="s">
        <v>1437</v>
      </c>
      <c r="P15" s="28"/>
    </row>
    <row r="16" spans="1:16" x14ac:dyDescent="0.2">
      <c r="A16" s="32" t="s">
        <v>1811</v>
      </c>
      <c r="B16" s="36" t="s">
        <v>1812</v>
      </c>
      <c r="C16" s="36" t="s">
        <v>1813</v>
      </c>
      <c r="D16" s="36" t="s">
        <v>1791</v>
      </c>
      <c r="E16" s="36" t="s">
        <v>365</v>
      </c>
      <c r="F16" s="36" t="s">
        <v>1810</v>
      </c>
      <c r="G16" s="131" t="s">
        <v>316</v>
      </c>
      <c r="H16" s="105"/>
      <c r="I16" s="105"/>
      <c r="J16" s="106" t="s">
        <v>42</v>
      </c>
      <c r="K16" s="105"/>
      <c r="L16" s="106"/>
      <c r="M16" s="106"/>
      <c r="N16" s="105"/>
      <c r="O16" s="106" t="s">
        <v>1437</v>
      </c>
      <c r="P16" s="28"/>
    </row>
    <row r="17" spans="1:16" x14ac:dyDescent="0.2">
      <c r="A17" s="32" t="s">
        <v>1814</v>
      </c>
      <c r="B17" s="36" t="s">
        <v>1815</v>
      </c>
      <c r="C17" s="36" t="s">
        <v>1816</v>
      </c>
      <c r="D17" s="36" t="s">
        <v>1791</v>
      </c>
      <c r="E17" s="36" t="s">
        <v>365</v>
      </c>
      <c r="F17" s="36" t="s">
        <v>1810</v>
      </c>
      <c r="G17" s="131" t="s">
        <v>316</v>
      </c>
      <c r="H17" s="105"/>
      <c r="I17" s="105"/>
      <c r="J17" s="106" t="s">
        <v>45</v>
      </c>
      <c r="K17" s="105"/>
      <c r="L17" s="106"/>
      <c r="M17" s="106"/>
      <c r="N17" s="105"/>
      <c r="O17" s="106" t="s">
        <v>1437</v>
      </c>
      <c r="P17" s="28"/>
    </row>
    <row r="18" spans="1:16" x14ac:dyDescent="0.2">
      <c r="A18" s="32" t="s">
        <v>1817</v>
      </c>
      <c r="B18" s="36" t="s">
        <v>364</v>
      </c>
      <c r="C18" s="36" t="s">
        <v>1818</v>
      </c>
      <c r="D18" s="36" t="s">
        <v>1791</v>
      </c>
      <c r="E18" s="36" t="s">
        <v>365</v>
      </c>
      <c r="F18" s="36" t="s">
        <v>1810</v>
      </c>
      <c r="G18" s="131" t="s">
        <v>316</v>
      </c>
      <c r="H18" s="105"/>
      <c r="I18" s="105"/>
      <c r="J18" s="106" t="s">
        <v>45</v>
      </c>
      <c r="K18" s="105"/>
      <c r="L18" s="106"/>
      <c r="M18" s="106"/>
      <c r="N18" s="105"/>
      <c r="O18" s="106" t="s">
        <v>1437</v>
      </c>
      <c r="P18" s="28"/>
    </row>
    <row r="19" spans="1:16" x14ac:dyDescent="0.2">
      <c r="A19" s="32" t="s">
        <v>1819</v>
      </c>
      <c r="B19" s="36" t="s">
        <v>1820</v>
      </c>
      <c r="C19" s="36" t="s">
        <v>1821</v>
      </c>
      <c r="D19" s="36" t="s">
        <v>1791</v>
      </c>
      <c r="E19" s="36" t="s">
        <v>300</v>
      </c>
      <c r="F19" s="36" t="s">
        <v>1822</v>
      </c>
      <c r="G19" s="131" t="s">
        <v>316</v>
      </c>
      <c r="H19" s="105"/>
      <c r="I19" s="105"/>
      <c r="J19" s="106" t="s">
        <v>42</v>
      </c>
      <c r="K19" s="105"/>
      <c r="L19" s="106"/>
      <c r="M19" s="106"/>
      <c r="N19" s="105"/>
      <c r="O19" s="106" t="s">
        <v>1437</v>
      </c>
      <c r="P19" s="28"/>
    </row>
    <row r="20" spans="1:16" x14ac:dyDescent="0.2">
      <c r="A20" s="32" t="s">
        <v>1823</v>
      </c>
      <c r="B20" s="36" t="s">
        <v>1820</v>
      </c>
      <c r="C20" s="36" t="s">
        <v>1824</v>
      </c>
      <c r="D20" s="36" t="s">
        <v>1795</v>
      </c>
      <c r="E20" s="36" t="s">
        <v>307</v>
      </c>
      <c r="F20" s="36" t="s">
        <v>1822</v>
      </c>
      <c r="G20" s="131" t="s">
        <v>316</v>
      </c>
      <c r="H20" s="105"/>
      <c r="I20" s="105"/>
      <c r="J20" s="106" t="s">
        <v>1825</v>
      </c>
      <c r="K20" s="105"/>
      <c r="L20" s="106"/>
      <c r="M20" s="106"/>
      <c r="N20" s="105"/>
      <c r="O20" s="106" t="s">
        <v>1437</v>
      </c>
      <c r="P20" s="28"/>
    </row>
    <row r="21" spans="1:16" x14ac:dyDescent="0.2">
      <c r="A21" s="32" t="s">
        <v>1826</v>
      </c>
      <c r="B21" s="36" t="s">
        <v>373</v>
      </c>
      <c r="C21" s="36" t="s">
        <v>1827</v>
      </c>
      <c r="D21" s="36" t="s">
        <v>1791</v>
      </c>
      <c r="E21" s="36" t="s">
        <v>209</v>
      </c>
      <c r="F21" s="36" t="s">
        <v>1828</v>
      </c>
      <c r="G21" s="131" t="s">
        <v>316</v>
      </c>
      <c r="H21" s="105"/>
      <c r="I21" s="105"/>
      <c r="J21" s="106" t="s">
        <v>45</v>
      </c>
      <c r="K21" s="105"/>
      <c r="L21" s="106"/>
      <c r="M21" s="106"/>
      <c r="N21" s="105"/>
      <c r="O21" s="106" t="s">
        <v>1437</v>
      </c>
      <c r="P21" s="28"/>
    </row>
    <row r="22" spans="1:16" x14ac:dyDescent="0.2">
      <c r="A22" s="32" t="s">
        <v>1829</v>
      </c>
      <c r="B22" s="36" t="s">
        <v>381</v>
      </c>
      <c r="C22" s="36" t="s">
        <v>1830</v>
      </c>
      <c r="D22" s="36" t="s">
        <v>1795</v>
      </c>
      <c r="E22" s="36" t="s">
        <v>379</v>
      </c>
      <c r="F22" s="36" t="s">
        <v>1831</v>
      </c>
      <c r="G22" s="131" t="s">
        <v>316</v>
      </c>
      <c r="H22" s="105"/>
      <c r="I22" s="105"/>
      <c r="J22" s="106" t="s">
        <v>42</v>
      </c>
      <c r="K22" s="105"/>
      <c r="L22" s="106"/>
      <c r="M22" s="106"/>
      <c r="N22" s="105"/>
      <c r="O22" s="106" t="s">
        <v>1437</v>
      </c>
      <c r="P22" s="28"/>
    </row>
    <row r="23" spans="1:16" x14ac:dyDescent="0.2">
      <c r="A23" s="32" t="s">
        <v>1832</v>
      </c>
      <c r="B23" s="36" t="s">
        <v>334</v>
      </c>
      <c r="C23" s="36" t="s">
        <v>1833</v>
      </c>
      <c r="D23" s="36" t="s">
        <v>1791</v>
      </c>
      <c r="E23" s="36" t="s">
        <v>193</v>
      </c>
      <c r="F23" s="36" t="s">
        <v>1834</v>
      </c>
      <c r="G23" s="131" t="s">
        <v>316</v>
      </c>
      <c r="H23" s="105"/>
      <c r="I23" s="105"/>
      <c r="J23" s="106" t="s">
        <v>1835</v>
      </c>
      <c r="K23" s="105"/>
      <c r="L23" s="106"/>
      <c r="M23" s="106"/>
      <c r="N23" s="105"/>
      <c r="O23" s="106" t="s">
        <v>1437</v>
      </c>
      <c r="P23" s="28"/>
    </row>
    <row r="24" spans="1:16" x14ac:dyDescent="0.2">
      <c r="A24" s="32" t="s">
        <v>1836</v>
      </c>
      <c r="B24" s="36" t="s">
        <v>1837</v>
      </c>
      <c r="C24" s="36" t="s">
        <v>1838</v>
      </c>
      <c r="D24" s="36" t="s">
        <v>1795</v>
      </c>
      <c r="E24" s="36" t="s">
        <v>193</v>
      </c>
      <c r="F24" s="36" t="s">
        <v>1834</v>
      </c>
      <c r="G24" s="131" t="s">
        <v>316</v>
      </c>
      <c r="H24" s="105"/>
      <c r="I24" s="105"/>
      <c r="J24" s="106" t="s">
        <v>1835</v>
      </c>
      <c r="K24" s="105"/>
      <c r="L24" s="106"/>
      <c r="M24" s="106"/>
      <c r="N24" s="105"/>
      <c r="O24" s="106" t="s">
        <v>1437</v>
      </c>
      <c r="P24" s="28"/>
    </row>
    <row r="25" spans="1:16" x14ac:dyDescent="0.2">
      <c r="A25" s="32" t="s">
        <v>1839</v>
      </c>
      <c r="B25" s="36" t="s">
        <v>339</v>
      </c>
      <c r="C25" s="36" t="s">
        <v>1840</v>
      </c>
      <c r="D25" s="36" t="s">
        <v>1795</v>
      </c>
      <c r="E25" s="36" t="s">
        <v>191</v>
      </c>
      <c r="F25" s="36" t="s">
        <v>1841</v>
      </c>
      <c r="G25" s="131" t="s">
        <v>316</v>
      </c>
      <c r="H25" s="105"/>
      <c r="I25" s="105"/>
      <c r="J25" s="106" t="s">
        <v>1835</v>
      </c>
      <c r="K25" s="105"/>
      <c r="L25" s="106"/>
      <c r="M25" s="106"/>
      <c r="N25" s="105"/>
      <c r="O25" s="106" t="s">
        <v>1437</v>
      </c>
      <c r="P25" s="28"/>
    </row>
    <row r="26" spans="1:16" x14ac:dyDescent="0.2">
      <c r="A26" s="32" t="s">
        <v>1842</v>
      </c>
      <c r="B26" s="36" t="s">
        <v>385</v>
      </c>
      <c r="C26" s="36" t="s">
        <v>1843</v>
      </c>
      <c r="D26" s="36" t="s">
        <v>1795</v>
      </c>
      <c r="E26" s="36" t="s">
        <v>200</v>
      </c>
      <c r="F26" s="36" t="s">
        <v>1844</v>
      </c>
      <c r="G26" s="131" t="s">
        <v>316</v>
      </c>
      <c r="H26" s="105"/>
      <c r="I26" s="105"/>
      <c r="J26" s="106" t="s">
        <v>42</v>
      </c>
      <c r="K26" s="105"/>
      <c r="L26" s="106"/>
      <c r="M26" s="106"/>
      <c r="N26" s="105"/>
      <c r="O26" s="106" t="s">
        <v>1437</v>
      </c>
      <c r="P26" s="28"/>
    </row>
    <row r="27" spans="1:16" x14ac:dyDescent="0.2">
      <c r="A27" s="32" t="s">
        <v>1845</v>
      </c>
      <c r="B27" s="36" t="s">
        <v>388</v>
      </c>
      <c r="C27" s="36" t="s">
        <v>1846</v>
      </c>
      <c r="D27" s="36" t="s">
        <v>1791</v>
      </c>
      <c r="E27" s="36" t="s">
        <v>198</v>
      </c>
      <c r="F27" s="36" t="s">
        <v>1847</v>
      </c>
      <c r="G27" s="131" t="s">
        <v>316</v>
      </c>
      <c r="H27" s="105"/>
      <c r="I27" s="105"/>
      <c r="J27" s="106" t="s">
        <v>42</v>
      </c>
      <c r="K27" s="105"/>
      <c r="L27" s="106"/>
      <c r="M27" s="106"/>
      <c r="N27" s="105"/>
      <c r="O27" s="106" t="s">
        <v>1437</v>
      </c>
      <c r="P27" s="28"/>
    </row>
    <row r="28" spans="1:16" x14ac:dyDescent="0.2">
      <c r="A28" s="32" t="s">
        <v>1848</v>
      </c>
      <c r="B28" s="36" t="s">
        <v>370</v>
      </c>
      <c r="C28" s="36" t="s">
        <v>1849</v>
      </c>
      <c r="D28" s="36" t="s">
        <v>1850</v>
      </c>
      <c r="E28" s="36" t="s">
        <v>215</v>
      </c>
      <c r="F28" s="36" t="s">
        <v>1851</v>
      </c>
      <c r="G28" s="131" t="s">
        <v>304</v>
      </c>
      <c r="H28" s="105"/>
      <c r="I28" s="105"/>
      <c r="J28" s="106" t="s">
        <v>42</v>
      </c>
      <c r="K28" s="105"/>
      <c r="L28" s="106"/>
      <c r="M28" s="106"/>
      <c r="N28" s="105"/>
      <c r="O28" s="106" t="s">
        <v>1437</v>
      </c>
      <c r="P28" s="28"/>
    </row>
    <row r="29" spans="1:16" x14ac:dyDescent="0.2">
      <c r="A29" s="32" t="s">
        <v>1852</v>
      </c>
      <c r="B29" s="36" t="s">
        <v>422</v>
      </c>
      <c r="C29" s="36" t="s">
        <v>1853</v>
      </c>
      <c r="D29" s="36" t="s">
        <v>1850</v>
      </c>
      <c r="E29" s="36" t="s">
        <v>420</v>
      </c>
      <c r="F29" s="36" t="s">
        <v>1854</v>
      </c>
      <c r="G29" s="131" t="s">
        <v>316</v>
      </c>
      <c r="H29" s="105"/>
      <c r="I29" s="105"/>
      <c r="J29" s="106" t="s">
        <v>42</v>
      </c>
      <c r="K29" s="105"/>
      <c r="L29" s="106"/>
      <c r="M29" s="106"/>
      <c r="N29" s="105"/>
      <c r="O29" s="106" t="s">
        <v>1437</v>
      </c>
      <c r="P29" s="28"/>
    </row>
    <row r="30" spans="1:16" x14ac:dyDescent="0.2">
      <c r="A30" s="32" t="s">
        <v>1855</v>
      </c>
      <c r="B30" s="36" t="s">
        <v>1856</v>
      </c>
      <c r="C30" s="36" t="s">
        <v>1857</v>
      </c>
      <c r="D30" s="36" t="s">
        <v>1850</v>
      </c>
      <c r="E30" s="36" t="s">
        <v>217</v>
      </c>
      <c r="F30" s="36" t="s">
        <v>1854</v>
      </c>
      <c r="G30" s="131" t="s">
        <v>316</v>
      </c>
      <c r="H30" s="105"/>
      <c r="I30" s="105"/>
      <c r="J30" s="106" t="s">
        <v>42</v>
      </c>
      <c r="K30" s="105"/>
      <c r="L30" s="106"/>
      <c r="M30" s="106"/>
      <c r="N30" s="105"/>
      <c r="O30" s="106" t="s">
        <v>1437</v>
      </c>
      <c r="P30" s="28"/>
    </row>
    <row r="31" spans="1:16" x14ac:dyDescent="0.2">
      <c r="A31" s="32" t="s">
        <v>1858</v>
      </c>
      <c r="B31" s="36" t="s">
        <v>408</v>
      </c>
      <c r="C31" s="36" t="s">
        <v>1859</v>
      </c>
      <c r="D31" s="36" t="s">
        <v>1791</v>
      </c>
      <c r="E31" s="36" t="s">
        <v>219</v>
      </c>
      <c r="F31" s="36" t="s">
        <v>1860</v>
      </c>
      <c r="G31" s="131" t="s">
        <v>316</v>
      </c>
      <c r="H31" s="105"/>
      <c r="I31" s="105"/>
      <c r="J31" s="106" t="s">
        <v>42</v>
      </c>
      <c r="K31" s="105"/>
      <c r="L31" s="106"/>
      <c r="M31" s="106"/>
      <c r="N31" s="105"/>
      <c r="O31" s="106" t="s">
        <v>1437</v>
      </c>
      <c r="P31" s="28"/>
    </row>
    <row r="32" spans="1:16" x14ac:dyDescent="0.2">
      <c r="A32" s="32" t="s">
        <v>1861</v>
      </c>
      <c r="B32" s="36" t="s">
        <v>419</v>
      </c>
      <c r="C32" s="36" t="s">
        <v>1862</v>
      </c>
      <c r="D32" s="36" t="s">
        <v>1850</v>
      </c>
      <c r="E32" s="36" t="s">
        <v>223</v>
      </c>
      <c r="F32" s="36" t="s">
        <v>1863</v>
      </c>
      <c r="G32" s="131" t="s">
        <v>316</v>
      </c>
      <c r="H32" s="105"/>
      <c r="I32" s="105"/>
      <c r="J32" s="106" t="s">
        <v>42</v>
      </c>
      <c r="K32" s="105"/>
      <c r="L32" s="106"/>
      <c r="M32" s="106"/>
      <c r="N32" s="105"/>
      <c r="O32" s="106" t="s">
        <v>1437</v>
      </c>
      <c r="P32" s="28"/>
    </row>
    <row r="33" spans="1:16" ht="26" x14ac:dyDescent="0.2">
      <c r="A33" s="32" t="s">
        <v>1864</v>
      </c>
      <c r="B33" s="36" t="s">
        <v>377</v>
      </c>
      <c r="C33" s="36" t="s">
        <v>1865</v>
      </c>
      <c r="D33" s="36" t="s">
        <v>1795</v>
      </c>
      <c r="E33" s="36" t="s">
        <v>221</v>
      </c>
      <c r="F33" s="36" t="s">
        <v>1866</v>
      </c>
      <c r="G33" s="131" t="s">
        <v>304</v>
      </c>
      <c r="H33" s="105"/>
      <c r="I33" s="105"/>
      <c r="J33" s="106" t="s">
        <v>42</v>
      </c>
      <c r="K33" s="105"/>
      <c r="L33" s="106"/>
      <c r="M33" s="106"/>
      <c r="N33" s="105"/>
      <c r="O33" s="106" t="s">
        <v>1437</v>
      </c>
      <c r="P33" s="28"/>
    </row>
    <row r="34" spans="1:16" x14ac:dyDescent="0.2">
      <c r="A34" s="32" t="s">
        <v>1867</v>
      </c>
      <c r="B34" s="36" t="s">
        <v>377</v>
      </c>
      <c r="C34" s="36" t="s">
        <v>1868</v>
      </c>
      <c r="D34" s="36" t="s">
        <v>1795</v>
      </c>
      <c r="E34" s="36" t="s">
        <v>221</v>
      </c>
      <c r="F34" s="36" t="s">
        <v>1866</v>
      </c>
      <c r="G34" s="131" t="s">
        <v>304</v>
      </c>
      <c r="H34" s="105"/>
      <c r="I34" s="105"/>
      <c r="J34" s="106" t="s">
        <v>42</v>
      </c>
      <c r="K34" s="105"/>
      <c r="L34" s="106"/>
      <c r="M34" s="106"/>
      <c r="N34" s="105"/>
      <c r="O34" s="106" t="s">
        <v>1437</v>
      </c>
      <c r="P34" s="28"/>
    </row>
    <row r="35" spans="1:16" x14ac:dyDescent="0.2">
      <c r="A35" s="32" t="s">
        <v>1869</v>
      </c>
      <c r="B35" s="36" t="s">
        <v>395</v>
      </c>
      <c r="C35" s="36" t="s">
        <v>1870</v>
      </c>
      <c r="D35" s="36" t="s">
        <v>1795</v>
      </c>
      <c r="E35" s="36" t="s">
        <v>211</v>
      </c>
      <c r="F35" s="36" t="s">
        <v>1871</v>
      </c>
      <c r="G35" s="131" t="s">
        <v>304</v>
      </c>
      <c r="H35" s="105"/>
      <c r="I35" s="105"/>
      <c r="J35" s="106" t="s">
        <v>42</v>
      </c>
      <c r="K35" s="105"/>
      <c r="L35" s="106"/>
      <c r="M35" s="106"/>
      <c r="N35" s="105"/>
      <c r="O35" s="106" t="s">
        <v>1437</v>
      </c>
      <c r="P35" s="28"/>
    </row>
    <row r="36" spans="1:16" x14ac:dyDescent="0.2">
      <c r="A36" s="32" t="s">
        <v>1872</v>
      </c>
      <c r="B36" s="36" t="s">
        <v>425</v>
      </c>
      <c r="C36" s="36" t="s">
        <v>1873</v>
      </c>
      <c r="D36" s="36" t="s">
        <v>1791</v>
      </c>
      <c r="E36" s="36" t="s">
        <v>423</v>
      </c>
      <c r="F36" s="36" t="s">
        <v>1874</v>
      </c>
      <c r="G36" s="131" t="s">
        <v>316</v>
      </c>
      <c r="H36" s="105"/>
      <c r="I36" s="105"/>
      <c r="J36" s="106" t="s">
        <v>42</v>
      </c>
      <c r="K36" s="105"/>
      <c r="L36" s="106"/>
      <c r="M36" s="106"/>
      <c r="N36" s="105"/>
      <c r="O36" s="106" t="s">
        <v>1437</v>
      </c>
      <c r="P36" s="28"/>
    </row>
    <row r="37" spans="1:16" x14ac:dyDescent="0.2">
      <c r="A37" s="32" t="s">
        <v>1875</v>
      </c>
      <c r="B37" s="36" t="s">
        <v>430</v>
      </c>
      <c r="C37" s="36" t="s">
        <v>1876</v>
      </c>
      <c r="D37" s="36" t="s">
        <v>1795</v>
      </c>
      <c r="E37" s="36" t="s">
        <v>428</v>
      </c>
      <c r="F37" s="36" t="s">
        <v>1877</v>
      </c>
      <c r="G37" s="131" t="s">
        <v>316</v>
      </c>
      <c r="H37" s="105"/>
      <c r="I37" s="105"/>
      <c r="J37" s="106" t="s">
        <v>42</v>
      </c>
      <c r="K37" s="105"/>
      <c r="L37" s="106"/>
      <c r="M37" s="106"/>
      <c r="N37" s="105"/>
      <c r="O37" s="106" t="s">
        <v>1437</v>
      </c>
      <c r="P37" s="28"/>
    </row>
    <row r="38" spans="1:16" ht="26" x14ac:dyDescent="0.2">
      <c r="A38" s="119" t="s">
        <v>1878</v>
      </c>
      <c r="B38" s="120" t="s">
        <v>370</v>
      </c>
      <c r="C38" s="120" t="s">
        <v>1879</v>
      </c>
      <c r="D38" s="130" t="s">
        <v>1880</v>
      </c>
      <c r="E38" s="130" t="s">
        <v>1881</v>
      </c>
      <c r="F38" s="130" t="s">
        <v>1882</v>
      </c>
      <c r="G38" s="106" t="s">
        <v>316</v>
      </c>
      <c r="H38" s="105"/>
      <c r="I38" s="105"/>
      <c r="J38" s="106" t="s">
        <v>1883</v>
      </c>
      <c r="K38" s="105"/>
      <c r="L38" s="106"/>
      <c r="M38" s="106"/>
      <c r="N38" s="105"/>
      <c r="O38" s="106" t="s">
        <v>1437</v>
      </c>
      <c r="P38" s="177"/>
    </row>
    <row r="39" spans="1:16" x14ac:dyDescent="0.2">
      <c r="A39" s="119" t="s">
        <v>1884</v>
      </c>
      <c r="B39" s="120" t="s">
        <v>392</v>
      </c>
      <c r="C39" s="120" t="s">
        <v>1885</v>
      </c>
      <c r="D39" s="130" t="s">
        <v>1880</v>
      </c>
      <c r="E39" s="130" t="s">
        <v>207</v>
      </c>
      <c r="F39" s="130" t="s">
        <v>1844</v>
      </c>
      <c r="G39" s="106" t="s">
        <v>316</v>
      </c>
      <c r="H39" s="105"/>
      <c r="I39" s="105"/>
      <c r="J39" s="106" t="s">
        <v>1886</v>
      </c>
      <c r="K39" s="105"/>
      <c r="L39" s="106"/>
      <c r="M39" s="106"/>
      <c r="N39" s="105"/>
      <c r="O39" s="106" t="s">
        <v>1437</v>
      </c>
      <c r="P39" s="177"/>
    </row>
    <row r="40" spans="1:16" x14ac:dyDescent="0.2">
      <c r="A40" s="119" t="s">
        <v>1887</v>
      </c>
      <c r="B40" s="120" t="s">
        <v>377</v>
      </c>
      <c r="C40" s="120" t="s">
        <v>1888</v>
      </c>
      <c r="D40" s="130" t="s">
        <v>1880</v>
      </c>
      <c r="E40" s="130" t="s">
        <v>221</v>
      </c>
      <c r="F40" s="130" t="s">
        <v>1866</v>
      </c>
      <c r="G40" s="106" t="s">
        <v>316</v>
      </c>
      <c r="H40" s="105"/>
      <c r="I40" s="105"/>
      <c r="J40" s="106" t="s">
        <v>1883</v>
      </c>
      <c r="K40" s="105"/>
      <c r="L40" s="106"/>
      <c r="M40" s="106"/>
      <c r="N40" s="105"/>
      <c r="O40" s="106" t="s">
        <v>1437</v>
      </c>
      <c r="P40" s="177"/>
    </row>
    <row r="41" spans="1:16" x14ac:dyDescent="0.2">
      <c r="A41" s="119" t="s">
        <v>1889</v>
      </c>
      <c r="B41" s="120" t="s">
        <v>415</v>
      </c>
      <c r="C41" s="120" t="s">
        <v>1890</v>
      </c>
      <c r="D41" s="130" t="s">
        <v>1880</v>
      </c>
      <c r="E41" s="130" t="s">
        <v>217</v>
      </c>
      <c r="F41" s="130" t="s">
        <v>1891</v>
      </c>
      <c r="G41" s="106" t="s">
        <v>316</v>
      </c>
      <c r="H41" s="105"/>
      <c r="I41" s="105"/>
      <c r="J41" s="106" t="s">
        <v>1886</v>
      </c>
      <c r="K41" s="105"/>
      <c r="L41" s="106"/>
      <c r="M41" s="106"/>
      <c r="N41" s="105"/>
      <c r="O41" s="106" t="s">
        <v>1437</v>
      </c>
      <c r="P41" s="177"/>
    </row>
    <row r="42" spans="1:16" x14ac:dyDescent="0.2">
      <c r="A42" s="119" t="s">
        <v>1892</v>
      </c>
      <c r="B42" s="120" t="s">
        <v>419</v>
      </c>
      <c r="C42" s="120" t="s">
        <v>1893</v>
      </c>
      <c r="D42" s="130" t="s">
        <v>1880</v>
      </c>
      <c r="E42" s="130" t="s">
        <v>223</v>
      </c>
      <c r="F42" s="130" t="s">
        <v>1863</v>
      </c>
      <c r="G42" s="106" t="s">
        <v>316</v>
      </c>
      <c r="H42" s="105"/>
      <c r="I42" s="105"/>
      <c r="J42" s="106" t="s">
        <v>1886</v>
      </c>
      <c r="K42" s="105"/>
      <c r="L42" s="106"/>
      <c r="M42" s="106"/>
      <c r="N42" s="105"/>
      <c r="O42" s="106" t="s">
        <v>1437</v>
      </c>
      <c r="P42" s="177"/>
    </row>
    <row r="43" spans="1:16" x14ac:dyDescent="0.2">
      <c r="A43" s="119" t="s">
        <v>1894</v>
      </c>
      <c r="B43" s="120" t="s">
        <v>388</v>
      </c>
      <c r="C43" s="120" t="s">
        <v>1895</v>
      </c>
      <c r="D43" s="130" t="s">
        <v>1880</v>
      </c>
      <c r="E43" s="130" t="s">
        <v>198</v>
      </c>
      <c r="F43" s="130" t="s">
        <v>1847</v>
      </c>
      <c r="G43" s="106" t="s">
        <v>316</v>
      </c>
      <c r="H43" s="105"/>
      <c r="I43" s="105"/>
      <c r="J43" s="106" t="s">
        <v>1886</v>
      </c>
      <c r="K43" s="105"/>
      <c r="L43" s="106"/>
      <c r="M43" s="106"/>
      <c r="N43" s="105"/>
      <c r="O43" s="106" t="s">
        <v>1437</v>
      </c>
      <c r="P43" s="177"/>
    </row>
    <row r="44" spans="1:16" x14ac:dyDescent="0.2">
      <c r="A44" s="119" t="s">
        <v>1896</v>
      </c>
      <c r="B44" s="120" t="s">
        <v>373</v>
      </c>
      <c r="C44" s="120" t="s">
        <v>1897</v>
      </c>
      <c r="D44" s="130" t="s">
        <v>1880</v>
      </c>
      <c r="E44" s="130" t="s">
        <v>209</v>
      </c>
      <c r="F44" s="130" t="s">
        <v>1828</v>
      </c>
      <c r="G44" s="106" t="s">
        <v>316</v>
      </c>
      <c r="H44" s="105"/>
      <c r="I44" s="105"/>
      <c r="J44" s="106" t="s">
        <v>1898</v>
      </c>
      <c r="K44" s="105"/>
      <c r="L44" s="106"/>
      <c r="M44" s="106"/>
      <c r="N44" s="105"/>
      <c r="O44" s="106" t="s">
        <v>1437</v>
      </c>
      <c r="P44" s="177"/>
    </row>
    <row r="45" spans="1:16" x14ac:dyDescent="0.2">
      <c r="A45" s="119" t="s">
        <v>1899</v>
      </c>
      <c r="B45" s="120" t="s">
        <v>422</v>
      </c>
      <c r="C45" s="120" t="s">
        <v>1900</v>
      </c>
      <c r="D45" s="130" t="s">
        <v>1880</v>
      </c>
      <c r="E45" s="130" t="s">
        <v>420</v>
      </c>
      <c r="F45" s="130" t="s">
        <v>1854</v>
      </c>
      <c r="G45" s="106" t="s">
        <v>316</v>
      </c>
      <c r="H45" s="105"/>
      <c r="I45" s="105"/>
      <c r="J45" s="106" t="s">
        <v>1886</v>
      </c>
      <c r="K45" s="105"/>
      <c r="L45" s="106"/>
      <c r="M45" s="106"/>
      <c r="N45" s="105"/>
      <c r="O45" s="106" t="s">
        <v>1437</v>
      </c>
      <c r="P45" s="177"/>
    </row>
    <row r="46" spans="1:16" x14ac:dyDescent="0.2">
      <c r="A46" s="32"/>
      <c r="B46" s="36"/>
      <c r="C46" s="36"/>
      <c r="D46" s="36"/>
      <c r="E46" s="36"/>
      <c r="F46" s="36"/>
      <c r="G46" s="131"/>
      <c r="H46" s="105"/>
      <c r="I46" s="105"/>
      <c r="J46" s="106"/>
      <c r="K46" s="105"/>
      <c r="L46" s="106"/>
      <c r="M46" s="106"/>
      <c r="N46" s="105"/>
      <c r="O46" s="106"/>
      <c r="P46" s="28"/>
    </row>
    <row r="47" spans="1:16" x14ac:dyDescent="0.2">
      <c r="A47" s="32"/>
      <c r="B47" s="36"/>
      <c r="C47" s="36"/>
      <c r="D47" s="36"/>
      <c r="E47" s="36"/>
      <c r="F47" s="36"/>
      <c r="G47" s="131"/>
      <c r="H47" s="105"/>
      <c r="I47" s="105"/>
      <c r="J47" s="106"/>
      <c r="K47" s="105"/>
      <c r="L47" s="106"/>
      <c r="M47" s="106"/>
      <c r="N47" s="105"/>
      <c r="O47" s="106"/>
      <c r="P47" s="28"/>
    </row>
    <row r="48" spans="1:16" x14ac:dyDescent="0.2">
      <c r="A48" s="32"/>
      <c r="B48" s="36"/>
      <c r="C48" s="36"/>
      <c r="D48" s="36"/>
      <c r="E48" s="36"/>
      <c r="F48" s="36"/>
      <c r="G48" s="131"/>
      <c r="H48" s="105"/>
      <c r="I48" s="105"/>
      <c r="J48" s="106"/>
      <c r="K48" s="105"/>
      <c r="L48" s="106"/>
      <c r="M48" s="106"/>
      <c r="N48" s="105"/>
      <c r="O48" s="106"/>
      <c r="P48" s="28"/>
    </row>
    <row r="49" spans="1:16" x14ac:dyDescent="0.2">
      <c r="A49" s="32"/>
      <c r="B49" s="36"/>
      <c r="C49" s="36"/>
      <c r="D49" s="36"/>
      <c r="E49" s="36"/>
      <c r="F49" s="36"/>
      <c r="G49" s="131"/>
      <c r="H49" s="105"/>
      <c r="I49" s="105"/>
      <c r="J49" s="106"/>
      <c r="K49" s="105"/>
      <c r="L49" s="106"/>
      <c r="M49" s="106"/>
      <c r="N49" s="105"/>
      <c r="O49" s="106"/>
      <c r="P49" s="28"/>
    </row>
    <row r="50" spans="1:16" x14ac:dyDescent="0.2">
      <c r="A50" s="32"/>
      <c r="B50" s="36"/>
      <c r="C50" s="36"/>
      <c r="D50" s="36"/>
      <c r="E50" s="36"/>
      <c r="F50" s="36"/>
      <c r="G50" s="131"/>
      <c r="H50" s="105"/>
      <c r="I50" s="105"/>
      <c r="J50" s="106"/>
      <c r="K50" s="105"/>
      <c r="L50" s="106"/>
      <c r="M50" s="106"/>
      <c r="N50" s="105"/>
      <c r="O50" s="106"/>
      <c r="P50" s="28"/>
    </row>
    <row r="51" spans="1:16" x14ac:dyDescent="0.2">
      <c r="A51" s="32"/>
      <c r="B51" s="36"/>
      <c r="C51" s="36"/>
      <c r="D51" s="36"/>
      <c r="E51" s="36"/>
      <c r="F51" s="36"/>
      <c r="G51" s="131"/>
      <c r="H51" s="105"/>
      <c r="I51" s="105"/>
      <c r="J51" s="106"/>
      <c r="K51" s="105"/>
      <c r="L51" s="106"/>
      <c r="M51" s="106"/>
      <c r="N51" s="105"/>
      <c r="O51" s="106"/>
      <c r="P51" s="28"/>
    </row>
    <row r="52" spans="1:16" x14ac:dyDescent="0.2">
      <c r="A52" s="32"/>
      <c r="B52" s="36"/>
      <c r="C52" s="36"/>
      <c r="D52" s="36"/>
      <c r="E52" s="36"/>
      <c r="F52" s="36"/>
      <c r="G52" s="131"/>
      <c r="H52" s="105"/>
      <c r="I52" s="105"/>
      <c r="J52" s="106"/>
      <c r="K52" s="105"/>
      <c r="L52" s="106"/>
      <c r="M52" s="106"/>
      <c r="N52" s="105"/>
      <c r="O52" s="106"/>
      <c r="P52" s="28"/>
    </row>
    <row r="53" spans="1:16" x14ac:dyDescent="0.2">
      <c r="A53" s="32"/>
      <c r="B53" s="36"/>
      <c r="C53" s="36"/>
      <c r="D53" s="36"/>
      <c r="E53" s="36"/>
      <c r="F53" s="36"/>
      <c r="G53" s="131"/>
      <c r="H53" s="105"/>
      <c r="I53" s="105"/>
      <c r="J53" s="106"/>
      <c r="K53" s="105"/>
      <c r="L53" s="106"/>
      <c r="M53" s="106"/>
      <c r="N53" s="105"/>
      <c r="O53" s="106"/>
      <c r="P53" s="28"/>
    </row>
    <row r="54" spans="1:16" x14ac:dyDescent="0.2">
      <c r="A54" s="32"/>
      <c r="B54" s="36"/>
      <c r="C54" s="36"/>
      <c r="D54" s="36"/>
      <c r="E54" s="36"/>
      <c r="F54" s="36"/>
      <c r="G54" s="131"/>
      <c r="H54" s="105"/>
      <c r="I54" s="105"/>
      <c r="J54" s="106"/>
      <c r="K54" s="105"/>
      <c r="L54" s="106"/>
      <c r="M54" s="106"/>
      <c r="N54" s="105"/>
      <c r="O54" s="106"/>
      <c r="P54" s="28"/>
    </row>
    <row r="55" spans="1:16" x14ac:dyDescent="0.2">
      <c r="A55" s="33"/>
      <c r="B55" s="107"/>
      <c r="C55" s="107"/>
      <c r="D55" s="107"/>
      <c r="E55" s="107"/>
      <c r="F55" s="107"/>
      <c r="G55" s="133"/>
      <c r="H55" s="108"/>
      <c r="I55" s="108"/>
      <c r="J55" s="109"/>
      <c r="K55" s="108"/>
      <c r="L55" s="109"/>
      <c r="M55" s="109"/>
      <c r="N55" s="108"/>
      <c r="O55" s="109"/>
      <c r="P55" s="29"/>
    </row>
  </sheetData>
  <mergeCells count="2">
    <mergeCell ref="A1:P1"/>
    <mergeCell ref="A2:P2"/>
  </mergeCells>
  <conditionalFormatting sqref="G7:G55">
    <cfRule type="containsText" dxfId="95" priority="5" operator="containsText" text="Yes">
      <formula>NOT(ISERROR(SEARCH("Yes",G7)))</formula>
    </cfRule>
  </conditionalFormatting>
  <conditionalFormatting sqref="L7:L55">
    <cfRule type="containsText" dxfId="94" priority="1" operator="containsText" text="Approved">
      <formula>NOT(ISERROR(SEARCH("Approved",L7)))</formula>
    </cfRule>
    <cfRule type="containsText" dxfId="93" priority="2" operator="containsText" text="Revise">
      <formula>NOT(ISERROR(SEARCH("Revise",L7)))</formula>
    </cfRule>
    <cfRule type="containsText" dxfId="92" priority="3" operator="containsText" text="Rejected">
      <formula>NOT(ISERROR(SEARCH("Rejected",L7)))</formula>
    </cfRule>
    <cfRule type="containsText" dxfId="91" priority="4" operator="containsText" text="Pending">
      <formula>NOT(ISERROR(SEARCH("Pending",L7)))</formula>
    </cfRule>
  </conditionalFormatting>
  <conditionalFormatting sqref="O7:O55">
    <cfRule type="containsText" dxfId="90" priority="6" operator="containsText" text="Closed">
      <formula>NOT(ISERROR(SEARCH("Closed",O7)))</formula>
    </cfRule>
    <cfRule type="containsText" dxfId="89" priority="7" operator="containsText" text="Open">
      <formula>NOT(ISERROR(SEARCH("Open",O7)))</formula>
    </cfRule>
  </conditionalFormatting>
  <dataValidations count="5">
    <dataValidation type="list" allowBlank="1" showInputMessage="1" showErrorMessage="1" sqref="D7:D55" xr:uid="{D65647F7-2224-1E47-BF78-19BB7F048FF5}">
      <formula1>"Shop Drawing,Product Data,Sample,Mock-Up,Certification,Test Report,O&amp;M Manual,Warranty,As-Built"</formula1>
    </dataValidation>
    <dataValidation type="list" allowBlank="1" showInputMessage="1" showErrorMessage="1" sqref="G7:G55" xr:uid="{AD1897B9-1EA1-B749-B9C7-70FB255A6117}">
      <formula1>"Yes,No"</formula1>
    </dataValidation>
    <dataValidation type="list" allowBlank="1" showInputMessage="1" showErrorMessage="1" sqref="L7:L55" xr:uid="{252A59E5-8233-0648-9376-E88385BF75A1}">
      <formula1>"Pending,Approved,Approved as Noted,Revise &amp; Resubmit,Rejected,For Record Only"</formula1>
    </dataValidation>
    <dataValidation type="list" allowBlank="1" showInputMessage="1" showErrorMessage="1" sqref="M7:M55" xr:uid="{58C0006A-8EB2-3547-A0B0-761981F90871}">
      <formula1>"Yes,No,N/A"</formula1>
    </dataValidation>
    <dataValidation type="list" allowBlank="1" showInputMessage="1" showErrorMessage="1" sqref="O7:O55" xr:uid="{669987FA-5FEF-9A47-A26F-32C35485EE71}">
      <formula1>"Open,Submitted,In Review,Approved,Closed,N/A"</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FA6D9-0B41-4E9D-B180-6F98057388DD}">
  <sheetPr>
    <pageSetUpPr fitToPage="1"/>
  </sheetPr>
  <dimension ref="A1:I51"/>
  <sheetViews>
    <sheetView workbookViewId="0">
      <selection sqref="A1:G1"/>
    </sheetView>
  </sheetViews>
  <sheetFormatPr baseColWidth="10" defaultColWidth="8.83203125" defaultRowHeight="16" x14ac:dyDescent="0.2"/>
  <cols>
    <col min="1" max="1" width="53.6640625" customWidth="1"/>
    <col min="2" max="3" width="13.1640625" customWidth="1"/>
    <col min="4" max="8" width="10.1640625" customWidth="1"/>
    <col min="10" max="10" width="8.83203125" customWidth="1"/>
  </cols>
  <sheetData>
    <row r="1" spans="1:9" x14ac:dyDescent="0.2">
      <c r="A1" s="179" t="s">
        <v>1901</v>
      </c>
      <c r="B1" s="270" t="s">
        <v>1902</v>
      </c>
      <c r="C1" s="270"/>
      <c r="D1" s="270"/>
      <c r="E1" s="270"/>
      <c r="F1" s="270"/>
      <c r="G1" s="270"/>
      <c r="H1" s="4"/>
      <c r="I1" s="4"/>
    </row>
    <row r="2" spans="1:9" ht="30" x14ac:dyDescent="0.2">
      <c r="A2" s="4"/>
      <c r="B2" s="180" t="s">
        <v>1903</v>
      </c>
      <c r="C2" s="180" t="s">
        <v>1904</v>
      </c>
      <c r="D2" s="180" t="s">
        <v>1905</v>
      </c>
      <c r="E2" s="180" t="s">
        <v>1906</v>
      </c>
      <c r="F2" s="180" t="s">
        <v>1907</v>
      </c>
      <c r="G2" s="180" t="s">
        <v>1908</v>
      </c>
      <c r="H2" s="181" t="s">
        <v>1909</v>
      </c>
      <c r="I2" s="181" t="s">
        <v>1910</v>
      </c>
    </row>
    <row r="3" spans="1:9" x14ac:dyDescent="0.2">
      <c r="A3" s="182"/>
      <c r="B3" s="178" t="s">
        <v>1911</v>
      </c>
      <c r="C3" s="178" t="s">
        <v>1911</v>
      </c>
      <c r="D3" s="178" t="s">
        <v>1911</v>
      </c>
      <c r="E3" s="178"/>
      <c r="F3" s="178"/>
      <c r="G3" s="178"/>
      <c r="H3" s="178" t="s">
        <v>1911</v>
      </c>
      <c r="I3" s="178" t="s">
        <v>1911</v>
      </c>
    </row>
    <row r="4" spans="1:9" x14ac:dyDescent="0.2">
      <c r="A4" s="182"/>
      <c r="B4" s="178" t="s">
        <v>1911</v>
      </c>
      <c r="C4" s="178" t="s">
        <v>1911</v>
      </c>
      <c r="D4" s="178" t="s">
        <v>1911</v>
      </c>
      <c r="E4" s="178"/>
      <c r="F4" s="178"/>
      <c r="G4" s="178"/>
      <c r="H4" s="178" t="s">
        <v>1911</v>
      </c>
      <c r="I4" s="178" t="s">
        <v>1911</v>
      </c>
    </row>
    <row r="5" spans="1:9" x14ac:dyDescent="0.2">
      <c r="A5" s="182"/>
      <c r="B5" s="178" t="s">
        <v>1911</v>
      </c>
      <c r="C5" s="178" t="s">
        <v>1911</v>
      </c>
      <c r="D5" s="178" t="s">
        <v>1911</v>
      </c>
      <c r="E5" s="178"/>
      <c r="F5" s="178"/>
      <c r="G5" s="178"/>
      <c r="H5" s="178" t="s">
        <v>1911</v>
      </c>
      <c r="I5" s="178" t="s">
        <v>1911</v>
      </c>
    </row>
    <row r="6" spans="1:9" x14ac:dyDescent="0.2">
      <c r="A6" s="182"/>
      <c r="B6" s="178" t="s">
        <v>1911</v>
      </c>
      <c r="C6" s="178" t="s">
        <v>1911</v>
      </c>
      <c r="D6" s="178" t="s">
        <v>1911</v>
      </c>
      <c r="E6" s="178"/>
      <c r="F6" s="178"/>
      <c r="G6" s="178"/>
      <c r="H6" s="178" t="s">
        <v>1911</v>
      </c>
      <c r="I6" s="178" t="s">
        <v>1911</v>
      </c>
    </row>
    <row r="7" spans="1:9" x14ac:dyDescent="0.2">
      <c r="A7" s="182"/>
      <c r="B7" s="178" t="s">
        <v>1911</v>
      </c>
      <c r="C7" s="178" t="s">
        <v>1911</v>
      </c>
      <c r="D7" s="178" t="s">
        <v>1911</v>
      </c>
      <c r="E7" s="178"/>
      <c r="F7" s="178"/>
      <c r="G7" s="178"/>
      <c r="H7" s="178" t="s">
        <v>1911</v>
      </c>
      <c r="I7" s="178" t="s">
        <v>1911</v>
      </c>
    </row>
    <row r="8" spans="1:9" x14ac:dyDescent="0.2">
      <c r="A8" s="182"/>
      <c r="B8" s="178" t="s">
        <v>1911</v>
      </c>
      <c r="C8" s="178" t="s">
        <v>1911</v>
      </c>
      <c r="D8" s="178" t="s">
        <v>1911</v>
      </c>
      <c r="E8" s="178"/>
      <c r="F8" s="178"/>
      <c r="G8" s="178"/>
      <c r="H8" s="178" t="s">
        <v>1911</v>
      </c>
      <c r="I8" s="178" t="s">
        <v>1911</v>
      </c>
    </row>
    <row r="9" spans="1:9" x14ac:dyDescent="0.2">
      <c r="A9" s="182"/>
      <c r="B9" s="178" t="s">
        <v>1911</v>
      </c>
      <c r="C9" s="178" t="s">
        <v>1911</v>
      </c>
      <c r="D9" s="178" t="s">
        <v>1911</v>
      </c>
      <c r="E9" s="178"/>
      <c r="F9" s="178"/>
      <c r="G9" s="178"/>
      <c r="H9" s="178" t="s">
        <v>1911</v>
      </c>
      <c r="I9" s="178" t="s">
        <v>1911</v>
      </c>
    </row>
    <row r="10" spans="1:9" x14ac:dyDescent="0.2">
      <c r="A10" s="182"/>
      <c r="B10" s="178" t="s">
        <v>1911</v>
      </c>
      <c r="C10" s="178" t="s">
        <v>1911</v>
      </c>
      <c r="D10" s="178" t="s">
        <v>1911</v>
      </c>
      <c r="E10" s="178"/>
      <c r="F10" s="178"/>
      <c r="G10" s="178"/>
      <c r="H10" s="178" t="s">
        <v>1911</v>
      </c>
      <c r="I10" s="178" t="s">
        <v>1911</v>
      </c>
    </row>
    <row r="11" spans="1:9" x14ac:dyDescent="0.2">
      <c r="A11" s="182"/>
      <c r="B11" s="178" t="s">
        <v>1911</v>
      </c>
      <c r="C11" s="178" t="s">
        <v>1911</v>
      </c>
      <c r="D11" s="178" t="s">
        <v>1911</v>
      </c>
      <c r="E11" s="178"/>
      <c r="F11" s="178"/>
      <c r="G11" s="178"/>
      <c r="H11" s="178" t="s">
        <v>1911</v>
      </c>
      <c r="I11" s="178" t="s">
        <v>1911</v>
      </c>
    </row>
    <row r="12" spans="1:9" x14ac:dyDescent="0.2">
      <c r="A12" s="182"/>
      <c r="B12" s="178" t="s">
        <v>1911</v>
      </c>
      <c r="C12" s="178" t="s">
        <v>1911</v>
      </c>
      <c r="D12" s="178" t="s">
        <v>1911</v>
      </c>
      <c r="E12" s="178"/>
      <c r="F12" s="178"/>
      <c r="G12" s="178"/>
      <c r="H12" s="178" t="s">
        <v>1911</v>
      </c>
      <c r="I12" s="178" t="s">
        <v>1911</v>
      </c>
    </row>
    <row r="13" spans="1:9" x14ac:dyDescent="0.2">
      <c r="A13" s="182"/>
      <c r="B13" s="178" t="s">
        <v>1911</v>
      </c>
      <c r="C13" s="178" t="s">
        <v>1911</v>
      </c>
      <c r="D13" s="178" t="s">
        <v>1911</v>
      </c>
      <c r="E13" s="178"/>
      <c r="F13" s="178"/>
      <c r="G13" s="178"/>
      <c r="H13" s="178" t="s">
        <v>1911</v>
      </c>
      <c r="I13" s="178" t="s">
        <v>1911</v>
      </c>
    </row>
    <row r="14" spans="1:9" x14ac:dyDescent="0.2">
      <c r="A14" s="182"/>
      <c r="B14" s="178" t="s">
        <v>1911</v>
      </c>
      <c r="C14" s="178" t="s">
        <v>1911</v>
      </c>
      <c r="D14" s="178" t="s">
        <v>1911</v>
      </c>
      <c r="E14" s="178"/>
      <c r="F14" s="178"/>
      <c r="G14" s="178"/>
      <c r="H14" s="178" t="s">
        <v>1911</v>
      </c>
      <c r="I14" s="178" t="s">
        <v>1911</v>
      </c>
    </row>
    <row r="15" spans="1:9" x14ac:dyDescent="0.2">
      <c r="A15" s="182"/>
      <c r="B15" s="178" t="s">
        <v>1911</v>
      </c>
      <c r="C15" s="178" t="s">
        <v>1911</v>
      </c>
      <c r="D15" s="178" t="s">
        <v>1911</v>
      </c>
      <c r="E15" s="178"/>
      <c r="F15" s="178"/>
      <c r="G15" s="178"/>
      <c r="H15" s="178" t="s">
        <v>1911</v>
      </c>
      <c r="I15" s="178" t="s">
        <v>1911</v>
      </c>
    </row>
    <row r="16" spans="1:9" x14ac:dyDescent="0.2">
      <c r="A16" s="182"/>
      <c r="B16" s="178" t="s">
        <v>1911</v>
      </c>
      <c r="C16" s="178" t="s">
        <v>1911</v>
      </c>
      <c r="D16" s="178" t="s">
        <v>1911</v>
      </c>
      <c r="E16" s="178"/>
      <c r="F16" s="178"/>
      <c r="G16" s="178"/>
      <c r="H16" s="178" t="s">
        <v>1911</v>
      </c>
      <c r="I16" s="178" t="s">
        <v>1911</v>
      </c>
    </row>
    <row r="17" spans="1:9" x14ac:dyDescent="0.2">
      <c r="A17" s="4"/>
      <c r="B17" s="4"/>
      <c r="C17" s="4"/>
      <c r="D17" s="4"/>
      <c r="E17" s="4"/>
      <c r="F17" s="4"/>
      <c r="G17" s="4"/>
      <c r="H17" s="4"/>
      <c r="I17" s="4"/>
    </row>
    <row r="18" spans="1:9" x14ac:dyDescent="0.2">
      <c r="A18" s="183" t="s">
        <v>203</v>
      </c>
      <c r="B18" s="4"/>
      <c r="C18" s="4"/>
      <c r="D18" s="4"/>
      <c r="E18" s="4"/>
      <c r="F18" s="4"/>
      <c r="G18" s="4"/>
      <c r="H18" s="4"/>
      <c r="I18" s="4"/>
    </row>
    <row r="19" spans="1:9" x14ac:dyDescent="0.2">
      <c r="A19" s="183" t="s">
        <v>1912</v>
      </c>
      <c r="B19" s="4"/>
      <c r="C19" s="4"/>
      <c r="D19" s="4"/>
      <c r="E19" s="4"/>
      <c r="F19" s="4"/>
      <c r="G19" s="4"/>
      <c r="H19" s="4"/>
      <c r="I19" s="4"/>
    </row>
    <row r="20" spans="1:9" x14ac:dyDescent="0.2">
      <c r="A20" s="183" t="s">
        <v>1913</v>
      </c>
      <c r="B20" s="4"/>
      <c r="C20" s="4"/>
      <c r="D20" s="4"/>
      <c r="E20" s="4"/>
      <c r="F20" s="4"/>
      <c r="G20" s="4"/>
      <c r="H20" s="4"/>
      <c r="I20" s="4"/>
    </row>
    <row r="21" spans="1:9" x14ac:dyDescent="0.2">
      <c r="A21" s="183" t="s">
        <v>1914</v>
      </c>
      <c r="B21" s="4"/>
      <c r="C21" s="4"/>
      <c r="D21" s="4"/>
      <c r="E21" s="4"/>
      <c r="F21" s="4"/>
      <c r="G21" s="4"/>
      <c r="H21" s="4"/>
      <c r="I21" s="4"/>
    </row>
    <row r="22" spans="1:9" x14ac:dyDescent="0.2">
      <c r="A22" s="4"/>
      <c r="B22" s="4"/>
      <c r="C22" s="4"/>
      <c r="D22" s="4"/>
      <c r="E22" s="4"/>
      <c r="F22" s="4"/>
      <c r="G22" s="4"/>
      <c r="H22" s="4"/>
      <c r="I22" s="4"/>
    </row>
    <row r="23" spans="1:9" x14ac:dyDescent="0.2">
      <c r="A23" s="4"/>
      <c r="B23" s="4"/>
      <c r="C23" s="4"/>
      <c r="D23" s="4"/>
      <c r="E23" s="4"/>
      <c r="F23" s="4"/>
      <c r="G23" s="4"/>
      <c r="H23" s="4"/>
      <c r="I23" s="4"/>
    </row>
    <row r="24" spans="1:9" x14ac:dyDescent="0.2">
      <c r="A24" s="183" t="s">
        <v>1915</v>
      </c>
      <c r="B24" s="4"/>
      <c r="C24" s="4"/>
      <c r="D24" s="4"/>
      <c r="E24" s="4"/>
      <c r="F24" s="4"/>
      <c r="G24" s="4"/>
      <c r="H24" s="4"/>
      <c r="I24" s="4"/>
    </row>
    <row r="25" spans="1:9" x14ac:dyDescent="0.2">
      <c r="A25" s="183" t="s">
        <v>1916</v>
      </c>
      <c r="B25" s="4"/>
      <c r="C25" s="4"/>
      <c r="D25" s="4"/>
      <c r="E25" s="4"/>
      <c r="F25" s="4"/>
      <c r="G25" s="4"/>
      <c r="H25" s="4"/>
      <c r="I25" s="4"/>
    </row>
    <row r="26" spans="1:9" x14ac:dyDescent="0.2">
      <c r="A26" s="183" t="s">
        <v>1917</v>
      </c>
      <c r="B26" s="4"/>
      <c r="C26" s="4"/>
      <c r="D26" s="4"/>
      <c r="E26" s="4"/>
      <c r="F26" s="4"/>
      <c r="G26" s="4"/>
      <c r="H26" s="4"/>
      <c r="I26" s="4"/>
    </row>
    <row r="27" spans="1:9" x14ac:dyDescent="0.2">
      <c r="A27" s="183" t="s">
        <v>1918</v>
      </c>
      <c r="B27" s="4"/>
      <c r="C27" s="4"/>
      <c r="D27" s="4"/>
      <c r="E27" s="4"/>
      <c r="F27" s="4"/>
      <c r="G27" s="4"/>
      <c r="H27" s="4"/>
      <c r="I27" s="4"/>
    </row>
    <row r="28" spans="1:9" x14ac:dyDescent="0.2">
      <c r="A28" s="183" t="s">
        <v>1919</v>
      </c>
      <c r="B28" s="4"/>
      <c r="C28" s="4"/>
      <c r="D28" s="4"/>
      <c r="E28" s="4"/>
      <c r="F28" s="4"/>
      <c r="G28" s="4"/>
      <c r="H28" s="4"/>
      <c r="I28" s="4"/>
    </row>
    <row r="29" spans="1:9" x14ac:dyDescent="0.2">
      <c r="A29" s="183" t="s">
        <v>1916</v>
      </c>
      <c r="B29" s="4"/>
      <c r="C29" s="4"/>
      <c r="D29" s="4"/>
      <c r="E29" s="4"/>
      <c r="F29" s="4"/>
      <c r="G29" s="4"/>
      <c r="H29" s="4"/>
      <c r="I29" s="4"/>
    </row>
    <row r="30" spans="1:9" x14ac:dyDescent="0.2">
      <c r="A30" s="183" t="s">
        <v>1917</v>
      </c>
      <c r="B30" s="4"/>
      <c r="C30" s="4"/>
      <c r="D30" s="4"/>
      <c r="E30" s="4"/>
      <c r="F30" s="4"/>
      <c r="G30" s="4"/>
      <c r="H30" s="4"/>
      <c r="I30" s="4"/>
    </row>
    <row r="31" spans="1:9" x14ac:dyDescent="0.2">
      <c r="A31" s="183" t="s">
        <v>1918</v>
      </c>
      <c r="B31" s="4"/>
      <c r="C31" s="4"/>
      <c r="D31" s="4"/>
      <c r="E31" s="4"/>
      <c r="F31" s="4"/>
      <c r="G31" s="4"/>
      <c r="H31" s="4"/>
      <c r="I31" s="4"/>
    </row>
    <row r="32" spans="1:9" x14ac:dyDescent="0.2">
      <c r="A32" s="4"/>
      <c r="B32" s="4"/>
      <c r="C32" s="4"/>
      <c r="D32" s="4"/>
      <c r="E32" s="4"/>
      <c r="F32" s="4"/>
      <c r="G32" s="4"/>
      <c r="H32" s="4"/>
      <c r="I32" s="4"/>
    </row>
    <row r="33" spans="1:9" x14ac:dyDescent="0.2">
      <c r="A33" s="183" t="s">
        <v>1920</v>
      </c>
      <c r="B33" s="4"/>
      <c r="C33" s="4"/>
      <c r="D33" s="4"/>
      <c r="E33" s="4"/>
      <c r="F33" s="4"/>
      <c r="G33" s="4"/>
      <c r="H33" s="4"/>
      <c r="I33" s="4"/>
    </row>
    <row r="34" spans="1:9" x14ac:dyDescent="0.2">
      <c r="A34" s="183" t="s">
        <v>1921</v>
      </c>
      <c r="B34" s="4"/>
      <c r="C34" s="4"/>
      <c r="D34" s="4"/>
      <c r="E34" s="4"/>
      <c r="F34" s="4"/>
      <c r="G34" s="4"/>
      <c r="H34" s="4"/>
      <c r="I34" s="4"/>
    </row>
    <row r="35" spans="1:9" x14ac:dyDescent="0.2">
      <c r="A35" s="183" t="s">
        <v>1922</v>
      </c>
      <c r="B35" s="4"/>
      <c r="C35" s="4"/>
      <c r="D35" s="4"/>
      <c r="E35" s="4"/>
      <c r="F35" s="4"/>
      <c r="G35" s="4"/>
      <c r="H35" s="4"/>
      <c r="I35" s="4"/>
    </row>
    <row r="36" spans="1:9" x14ac:dyDescent="0.2">
      <c r="A36" s="183" t="s">
        <v>213</v>
      </c>
      <c r="B36" s="4"/>
      <c r="C36" s="4"/>
      <c r="D36" s="4"/>
      <c r="E36" s="4"/>
      <c r="F36" s="4"/>
      <c r="G36" s="4"/>
      <c r="H36" s="4"/>
      <c r="I36" s="4"/>
    </row>
    <row r="37" spans="1:9" x14ac:dyDescent="0.2">
      <c r="A37" s="183" t="s">
        <v>1923</v>
      </c>
      <c r="B37" s="4"/>
      <c r="C37" s="4"/>
      <c r="D37" s="4"/>
      <c r="E37" s="4"/>
      <c r="F37" s="4"/>
      <c r="G37" s="4"/>
      <c r="H37" s="4"/>
      <c r="I37" s="4"/>
    </row>
    <row r="38" spans="1:9" x14ac:dyDescent="0.2">
      <c r="A38" s="4"/>
      <c r="B38" s="4"/>
      <c r="C38" s="4"/>
      <c r="D38" s="4"/>
      <c r="E38" s="4"/>
      <c r="F38" s="4"/>
      <c r="G38" s="4"/>
      <c r="H38" s="4"/>
      <c r="I38" s="4"/>
    </row>
    <row r="39" spans="1:9" x14ac:dyDescent="0.2">
      <c r="A39" s="183" t="s">
        <v>222</v>
      </c>
      <c r="B39" s="4"/>
      <c r="C39" s="4"/>
      <c r="D39" s="4"/>
      <c r="E39" s="4"/>
      <c r="F39" s="4"/>
      <c r="G39" s="4"/>
      <c r="H39" s="4"/>
      <c r="I39" s="4"/>
    </row>
    <row r="40" spans="1:9" x14ac:dyDescent="0.2">
      <c r="A40" s="183" t="s">
        <v>1924</v>
      </c>
      <c r="B40" s="4"/>
      <c r="C40" s="4"/>
      <c r="D40" s="4"/>
      <c r="E40" s="4"/>
      <c r="F40" s="4"/>
      <c r="G40" s="4"/>
      <c r="H40" s="4"/>
      <c r="I40" s="4"/>
    </row>
    <row r="41" spans="1:9" x14ac:dyDescent="0.2">
      <c r="A41" s="183" t="s">
        <v>1925</v>
      </c>
      <c r="B41" s="4"/>
      <c r="C41" s="4"/>
      <c r="D41" s="4"/>
      <c r="E41" s="4"/>
      <c r="F41" s="4"/>
      <c r="G41" s="4"/>
      <c r="H41" s="4"/>
      <c r="I41" s="4"/>
    </row>
    <row r="42" spans="1:9" x14ac:dyDescent="0.2">
      <c r="A42" s="183" t="s">
        <v>1926</v>
      </c>
      <c r="B42" s="4"/>
      <c r="C42" s="4"/>
      <c r="D42" s="4"/>
      <c r="E42" s="4"/>
      <c r="F42" s="4"/>
      <c r="G42" s="4"/>
      <c r="H42" s="4"/>
      <c r="I42" s="4"/>
    </row>
    <row r="43" spans="1:9" x14ac:dyDescent="0.2">
      <c r="A43" s="183" t="s">
        <v>1927</v>
      </c>
      <c r="B43" s="4"/>
      <c r="C43" s="4"/>
      <c r="D43" s="4"/>
      <c r="E43" s="4"/>
      <c r="F43" s="4"/>
      <c r="G43" s="4"/>
      <c r="H43" s="4"/>
      <c r="I43" s="4"/>
    </row>
    <row r="44" spans="1:9" x14ac:dyDescent="0.2">
      <c r="A44" s="183" t="s">
        <v>1928</v>
      </c>
      <c r="B44" s="4"/>
      <c r="C44" s="4"/>
      <c r="D44" s="4"/>
      <c r="E44" s="4"/>
      <c r="F44" s="4"/>
      <c r="G44" s="4"/>
      <c r="H44" s="4"/>
      <c r="I44" s="4"/>
    </row>
    <row r="45" spans="1:9" x14ac:dyDescent="0.2">
      <c r="A45" s="183" t="s">
        <v>1929</v>
      </c>
      <c r="B45" s="4"/>
      <c r="C45" s="4"/>
      <c r="D45" s="4"/>
      <c r="E45" s="4"/>
      <c r="F45" s="4"/>
      <c r="G45" s="4"/>
      <c r="H45" s="4"/>
      <c r="I45" s="4"/>
    </row>
    <row r="46" spans="1:9" x14ac:dyDescent="0.2">
      <c r="A46" s="183" t="s">
        <v>1930</v>
      </c>
      <c r="B46" s="4"/>
      <c r="C46" s="4"/>
      <c r="D46" s="4"/>
      <c r="E46" s="4"/>
      <c r="F46" s="4"/>
      <c r="G46" s="4"/>
      <c r="H46" s="4"/>
      <c r="I46" s="4"/>
    </row>
    <row r="47" spans="1:9" x14ac:dyDescent="0.2">
      <c r="A47" s="4"/>
      <c r="B47" s="4"/>
      <c r="C47" s="4"/>
      <c r="D47" s="4"/>
      <c r="E47" s="4"/>
      <c r="F47" s="4"/>
      <c r="G47" s="4"/>
      <c r="H47" s="4"/>
      <c r="I47" s="4"/>
    </row>
    <row r="48" spans="1:9" x14ac:dyDescent="0.2">
      <c r="A48" s="183" t="s">
        <v>208</v>
      </c>
      <c r="B48" s="4"/>
      <c r="C48" s="4"/>
      <c r="D48" s="4"/>
      <c r="E48" s="4"/>
      <c r="F48" s="4"/>
      <c r="G48" s="4"/>
      <c r="H48" s="4"/>
      <c r="I48" s="4"/>
    </row>
    <row r="49" spans="1:9" x14ac:dyDescent="0.2">
      <c r="A49" s="183" t="s">
        <v>1931</v>
      </c>
      <c r="B49" s="4"/>
      <c r="C49" s="4"/>
      <c r="D49" s="4"/>
      <c r="E49" s="4"/>
      <c r="F49" s="4"/>
      <c r="G49" s="4"/>
      <c r="H49" s="4"/>
      <c r="I49" s="4"/>
    </row>
    <row r="50" spans="1:9" x14ac:dyDescent="0.2">
      <c r="A50" s="183" t="s">
        <v>1932</v>
      </c>
      <c r="B50" s="4"/>
      <c r="C50" s="4"/>
      <c r="D50" s="4"/>
      <c r="E50" s="4"/>
      <c r="F50" s="4"/>
      <c r="G50" s="4"/>
      <c r="H50" s="4"/>
      <c r="I50" s="4"/>
    </row>
    <row r="51" spans="1:9" x14ac:dyDescent="0.2">
      <c r="A51" s="183" t="s">
        <v>1933</v>
      </c>
      <c r="B51" s="4"/>
      <c r="C51" s="4"/>
      <c r="D51" s="4"/>
      <c r="E51" s="4"/>
      <c r="F51" s="4"/>
      <c r="G51" s="4"/>
      <c r="H51" s="4"/>
      <c r="I51" s="4"/>
    </row>
  </sheetData>
  <mergeCells count="1">
    <mergeCell ref="B1:G1"/>
  </mergeCells>
  <phoneticPr fontId="2" type="noConversion"/>
  <pageMargins left="0.7" right="0.7" top="0.75" bottom="0.75" header="0.3" footer="0.3"/>
  <pageSetup orientation="landscape"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F0220-171B-47E7-9F57-A3A678E67A9C}">
  <sheetPr>
    <pageSetUpPr fitToPage="1"/>
  </sheetPr>
  <dimension ref="A1:E33"/>
  <sheetViews>
    <sheetView workbookViewId="0">
      <selection activeCell="I26" sqref="I26"/>
    </sheetView>
  </sheetViews>
  <sheetFormatPr baseColWidth="10" defaultColWidth="8.83203125" defaultRowHeight="16" x14ac:dyDescent="0.2"/>
  <cols>
    <col min="1" max="1" width="35.33203125" bestFit="1" customWidth="1"/>
    <col min="2" max="2" width="14.1640625" bestFit="1" customWidth="1"/>
    <col min="3" max="3" width="28.83203125" customWidth="1"/>
    <col min="4" max="4" width="23.6640625" bestFit="1" customWidth="1"/>
    <col min="5" max="5" width="33" bestFit="1" customWidth="1"/>
  </cols>
  <sheetData>
    <row r="1" spans="1:5" ht="17" thickBot="1" x14ac:dyDescent="0.25">
      <c r="A1" s="189" t="s">
        <v>1934</v>
      </c>
      <c r="B1" s="4"/>
      <c r="C1" s="4"/>
      <c r="D1" s="4"/>
      <c r="E1" s="4"/>
    </row>
    <row r="2" spans="1:5" ht="17" thickBot="1" x14ac:dyDescent="0.25">
      <c r="A2" s="4"/>
      <c r="B2" s="4"/>
      <c r="C2" s="4"/>
      <c r="D2" s="4"/>
      <c r="E2" s="4"/>
    </row>
    <row r="3" spans="1:5" x14ac:dyDescent="0.2">
      <c r="A3" s="277" t="s">
        <v>1935</v>
      </c>
      <c r="B3" s="278"/>
      <c r="C3" s="279"/>
      <c r="D3" s="4"/>
      <c r="E3" s="4"/>
    </row>
    <row r="4" spans="1:5" x14ac:dyDescent="0.2">
      <c r="A4" s="280"/>
      <c r="B4" s="281"/>
      <c r="C4" s="282"/>
      <c r="D4" s="4"/>
      <c r="E4" s="4"/>
    </row>
    <row r="5" spans="1:5" x14ac:dyDescent="0.2">
      <c r="A5" s="274"/>
      <c r="B5" s="275"/>
      <c r="C5" s="276"/>
      <c r="D5" s="4"/>
      <c r="E5" s="4"/>
    </row>
    <row r="6" spans="1:5" x14ac:dyDescent="0.2">
      <c r="A6" s="271" t="s">
        <v>1936</v>
      </c>
      <c r="B6" s="271"/>
      <c r="C6" s="271"/>
      <c r="D6" s="4"/>
      <c r="E6" s="4"/>
    </row>
    <row r="7" spans="1:5" x14ac:dyDescent="0.2">
      <c r="A7" s="271" t="s">
        <v>1937</v>
      </c>
      <c r="B7" s="271"/>
      <c r="C7" s="271"/>
      <c r="D7" s="4"/>
      <c r="E7" s="4"/>
    </row>
    <row r="8" spans="1:5" x14ac:dyDescent="0.2">
      <c r="A8" s="271" t="s">
        <v>1938</v>
      </c>
      <c r="B8" s="271"/>
      <c r="C8" s="271"/>
      <c r="D8" s="4"/>
      <c r="E8" s="4"/>
    </row>
    <row r="9" spans="1:5" x14ac:dyDescent="0.2">
      <c r="A9" s="271" t="s">
        <v>1939</v>
      </c>
      <c r="B9" s="271"/>
      <c r="C9" s="271"/>
      <c r="D9" s="4"/>
      <c r="E9" s="4"/>
    </row>
    <row r="10" spans="1:5" ht="17" thickBot="1" x14ac:dyDescent="0.25">
      <c r="A10" s="184"/>
      <c r="B10" s="184"/>
      <c r="C10" s="184"/>
      <c r="D10" s="4"/>
      <c r="E10" s="4"/>
    </row>
    <row r="11" spans="1:5" ht="17" thickBot="1" x14ac:dyDescent="0.25">
      <c r="A11" s="190" t="s">
        <v>1940</v>
      </c>
      <c r="B11" s="4"/>
      <c r="C11" s="4"/>
      <c r="D11" s="4"/>
      <c r="E11" s="4"/>
    </row>
    <row r="12" spans="1:5" x14ac:dyDescent="0.2">
      <c r="A12" s="272" t="s">
        <v>1941</v>
      </c>
      <c r="B12" s="273"/>
      <c r="C12" s="273"/>
      <c r="D12" s="4"/>
      <c r="E12" s="4"/>
    </row>
    <row r="13" spans="1:5" x14ac:dyDescent="0.2">
      <c r="A13" s="273"/>
      <c r="B13" s="273"/>
      <c r="C13" s="273"/>
      <c r="D13" s="4"/>
      <c r="E13" s="4"/>
    </row>
    <row r="14" spans="1:5" ht="17" thickBot="1" x14ac:dyDescent="0.25">
      <c r="A14" s="4"/>
      <c r="B14" s="4"/>
      <c r="C14" s="4"/>
      <c r="D14" s="4"/>
      <c r="E14" s="4"/>
    </row>
    <row r="15" spans="1:5" ht="17" thickBot="1" x14ac:dyDescent="0.25">
      <c r="A15" s="185" t="s">
        <v>1942</v>
      </c>
      <c r="B15" s="185" t="s">
        <v>1943</v>
      </c>
      <c r="C15" s="185" t="s">
        <v>1944</v>
      </c>
      <c r="D15" s="186" t="s">
        <v>1945</v>
      </c>
      <c r="E15" s="185" t="s">
        <v>1946</v>
      </c>
    </row>
    <row r="16" spans="1:5" x14ac:dyDescent="0.2">
      <c r="A16" s="187" t="s">
        <v>1947</v>
      </c>
      <c r="B16" s="187" t="s">
        <v>1948</v>
      </c>
      <c r="C16" s="187" t="s">
        <v>1949</v>
      </c>
      <c r="D16" s="187" t="s">
        <v>1950</v>
      </c>
      <c r="E16" s="187" t="s">
        <v>1951</v>
      </c>
    </row>
    <row r="17" spans="1:5" x14ac:dyDescent="0.2">
      <c r="A17" s="188" t="s">
        <v>1947</v>
      </c>
      <c r="B17" s="188" t="s">
        <v>1952</v>
      </c>
      <c r="C17" s="188" t="s">
        <v>1949</v>
      </c>
      <c r="D17" s="188" t="s">
        <v>1953</v>
      </c>
      <c r="E17" s="188" t="s">
        <v>1954</v>
      </c>
    </row>
    <row r="18" spans="1:5" x14ac:dyDescent="0.2">
      <c r="A18" s="188" t="s">
        <v>1947</v>
      </c>
      <c r="B18" s="188" t="s">
        <v>1955</v>
      </c>
      <c r="C18" s="188" t="s">
        <v>1949</v>
      </c>
      <c r="D18" s="188" t="s">
        <v>1956</v>
      </c>
      <c r="E18" s="188" t="s">
        <v>1957</v>
      </c>
    </row>
    <row r="19" spans="1:5" x14ac:dyDescent="0.2">
      <c r="A19" s="188" t="s">
        <v>1947</v>
      </c>
      <c r="B19" s="188" t="s">
        <v>1958</v>
      </c>
      <c r="C19" s="188" t="s">
        <v>1949</v>
      </c>
      <c r="D19" s="188" t="s">
        <v>1959</v>
      </c>
      <c r="E19" s="188" t="s">
        <v>1960</v>
      </c>
    </row>
    <row r="20" spans="1:5" x14ac:dyDescent="0.2">
      <c r="A20" s="188" t="s">
        <v>1947</v>
      </c>
      <c r="B20" s="188" t="s">
        <v>1961</v>
      </c>
      <c r="C20" s="188" t="s">
        <v>1949</v>
      </c>
      <c r="D20" s="188" t="s">
        <v>1962</v>
      </c>
      <c r="E20" s="188" t="s">
        <v>1963</v>
      </c>
    </row>
    <row r="21" spans="1:5" x14ac:dyDescent="0.2">
      <c r="A21" s="188" t="s">
        <v>1947</v>
      </c>
      <c r="B21" s="188" t="s">
        <v>1964</v>
      </c>
      <c r="C21" s="188" t="s">
        <v>1949</v>
      </c>
      <c r="D21" s="188" t="s">
        <v>1965</v>
      </c>
      <c r="E21" s="188" t="s">
        <v>1966</v>
      </c>
    </row>
    <row r="22" spans="1:5" x14ac:dyDescent="0.2">
      <c r="A22" s="188" t="s">
        <v>1947</v>
      </c>
      <c r="B22" s="188" t="s">
        <v>1967</v>
      </c>
      <c r="C22" s="188" t="s">
        <v>1949</v>
      </c>
      <c r="D22" s="188" t="s">
        <v>1968</v>
      </c>
      <c r="E22" s="188" t="s">
        <v>1969</v>
      </c>
    </row>
    <row r="23" spans="1:5" x14ac:dyDescent="0.2">
      <c r="A23" s="188" t="s">
        <v>1970</v>
      </c>
      <c r="B23" s="188" t="s">
        <v>1971</v>
      </c>
      <c r="C23" s="188" t="s">
        <v>1971</v>
      </c>
      <c r="D23" s="188" t="s">
        <v>1972</v>
      </c>
      <c r="E23" s="188" t="s">
        <v>1973</v>
      </c>
    </row>
    <row r="24" spans="1:5" x14ac:dyDescent="0.2">
      <c r="A24" s="188" t="s">
        <v>1970</v>
      </c>
      <c r="B24" s="188" t="s">
        <v>1974</v>
      </c>
      <c r="C24" s="188" t="s">
        <v>1974</v>
      </c>
      <c r="D24" s="188" t="s">
        <v>1975</v>
      </c>
      <c r="E24" s="188" t="s">
        <v>1976</v>
      </c>
    </row>
    <row r="25" spans="1:5" x14ac:dyDescent="0.2">
      <c r="A25" s="188" t="s">
        <v>1970</v>
      </c>
      <c r="B25" s="188" t="s">
        <v>1977</v>
      </c>
      <c r="C25" s="188" t="s">
        <v>1977</v>
      </c>
      <c r="D25" s="188" t="s">
        <v>1978</v>
      </c>
      <c r="E25" s="188" t="s">
        <v>1979</v>
      </c>
    </row>
    <row r="26" spans="1:5" x14ac:dyDescent="0.2">
      <c r="A26" s="188" t="s">
        <v>1970</v>
      </c>
      <c r="B26" s="188" t="s">
        <v>1980</v>
      </c>
      <c r="C26" s="188" t="s">
        <v>1980</v>
      </c>
      <c r="D26" s="188" t="s">
        <v>1981</v>
      </c>
      <c r="E26" s="188" t="s">
        <v>1982</v>
      </c>
    </row>
    <row r="27" spans="1:5" x14ac:dyDescent="0.2">
      <c r="A27" s="188" t="s">
        <v>1970</v>
      </c>
      <c r="B27" s="188" t="s">
        <v>1983</v>
      </c>
      <c r="C27" s="188" t="s">
        <v>1983</v>
      </c>
      <c r="D27" s="188" t="s">
        <v>1984</v>
      </c>
      <c r="E27" s="188" t="s">
        <v>1985</v>
      </c>
    </row>
    <row r="28" spans="1:5" x14ac:dyDescent="0.2">
      <c r="A28" s="188" t="s">
        <v>1986</v>
      </c>
      <c r="B28" s="188" t="s">
        <v>1987</v>
      </c>
      <c r="C28" s="188" t="s">
        <v>1949</v>
      </c>
      <c r="D28" s="188" t="s">
        <v>1972</v>
      </c>
      <c r="E28" s="188" t="s">
        <v>1988</v>
      </c>
    </row>
    <row r="29" spans="1:5" x14ac:dyDescent="0.2">
      <c r="A29" s="188" t="s">
        <v>1986</v>
      </c>
      <c r="B29" s="188" t="s">
        <v>1989</v>
      </c>
      <c r="C29" s="188" t="s">
        <v>1949</v>
      </c>
      <c r="D29" s="188" t="s">
        <v>1990</v>
      </c>
      <c r="E29" s="188" t="s">
        <v>1991</v>
      </c>
    </row>
    <row r="30" spans="1:5" x14ac:dyDescent="0.2">
      <c r="A30" s="188" t="s">
        <v>1986</v>
      </c>
      <c r="B30" s="188" t="s">
        <v>1992</v>
      </c>
      <c r="C30" s="188" t="s">
        <v>1949</v>
      </c>
      <c r="D30" s="188" t="s">
        <v>1981</v>
      </c>
      <c r="E30" s="188" t="s">
        <v>1993</v>
      </c>
    </row>
    <row r="31" spans="1:5" x14ac:dyDescent="0.2">
      <c r="A31" s="188" t="s">
        <v>1986</v>
      </c>
      <c r="B31" s="188" t="s">
        <v>1994</v>
      </c>
      <c r="C31" s="188" t="s">
        <v>1949</v>
      </c>
      <c r="D31" s="188" t="s">
        <v>1995</v>
      </c>
      <c r="E31" s="188" t="s">
        <v>1996</v>
      </c>
    </row>
    <row r="32" spans="1:5" x14ac:dyDescent="0.2">
      <c r="A32" s="188" t="s">
        <v>1986</v>
      </c>
      <c r="B32" s="188" t="s">
        <v>1997</v>
      </c>
      <c r="C32" s="188" t="s">
        <v>1949</v>
      </c>
      <c r="D32" s="188" t="s">
        <v>1998</v>
      </c>
      <c r="E32" s="188" t="s">
        <v>1999</v>
      </c>
    </row>
    <row r="33" spans="1:5" x14ac:dyDescent="0.2">
      <c r="A33" s="188"/>
      <c r="B33" s="188"/>
      <c r="C33" s="188"/>
      <c r="D33" s="188"/>
      <c r="E33" s="188"/>
    </row>
  </sheetData>
  <mergeCells count="7">
    <mergeCell ref="A9:C9"/>
    <mergeCell ref="A12:C13"/>
    <mergeCell ref="A5:C5"/>
    <mergeCell ref="A3:C4"/>
    <mergeCell ref="A6:C6"/>
    <mergeCell ref="A7:C7"/>
    <mergeCell ref="A8:C8"/>
  </mergeCells>
  <pageMargins left="0.7" right="0.7" top="0.75" bottom="0.75" header="0.3" footer="0.3"/>
  <pageSetup scale="83" orientation="landscape"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41619-645B-D340-9B17-9AC7EBC4A32C}">
  <sheetPr>
    <pageSetUpPr fitToPage="1"/>
  </sheetPr>
  <dimension ref="C3:H11"/>
  <sheetViews>
    <sheetView zoomScale="70" zoomScaleNormal="70" workbookViewId="0">
      <selection activeCell="E19" sqref="E19"/>
    </sheetView>
  </sheetViews>
  <sheetFormatPr baseColWidth="10" defaultColWidth="10.83203125" defaultRowHeight="16" x14ac:dyDescent="0.2"/>
  <cols>
    <col min="1" max="2" width="10.83203125" style="1"/>
    <col min="3" max="3" width="26.6640625" style="2" customWidth="1"/>
    <col min="4" max="4" width="31" style="2" bestFit="1" customWidth="1"/>
    <col min="5" max="5" width="29.1640625" style="2" bestFit="1" customWidth="1"/>
    <col min="6" max="8" width="26.6640625" style="2" customWidth="1"/>
    <col min="9" max="16384" width="10.83203125" style="1"/>
  </cols>
  <sheetData>
    <row r="3" spans="3:8" ht="50" customHeight="1" x14ac:dyDescent="0.2">
      <c r="C3" s="193" t="s">
        <v>241</v>
      </c>
      <c r="D3" s="193" t="s">
        <v>242</v>
      </c>
      <c r="E3" s="193" t="s">
        <v>2000</v>
      </c>
      <c r="F3" s="193" t="s">
        <v>243</v>
      </c>
      <c r="G3" s="193" t="s">
        <v>244</v>
      </c>
      <c r="H3" s="193" t="s">
        <v>245</v>
      </c>
    </row>
    <row r="4" spans="3:8" ht="50" customHeight="1" x14ac:dyDescent="0.2">
      <c r="C4" s="194" t="s">
        <v>246</v>
      </c>
      <c r="D4" s="191" t="s">
        <v>2001</v>
      </c>
      <c r="E4" s="191" t="s">
        <v>2002</v>
      </c>
      <c r="F4" s="191" t="s">
        <v>248</v>
      </c>
      <c r="G4" s="191" t="s">
        <v>2003</v>
      </c>
      <c r="H4" s="191" t="s">
        <v>2004</v>
      </c>
    </row>
    <row r="5" spans="3:8" ht="67" customHeight="1" x14ac:dyDescent="0.2">
      <c r="C5" s="195" t="s">
        <v>2005</v>
      </c>
      <c r="D5" s="192" t="s">
        <v>2006</v>
      </c>
      <c r="E5" s="192" t="s">
        <v>2007</v>
      </c>
      <c r="F5" s="192" t="s">
        <v>2008</v>
      </c>
      <c r="G5" s="192" t="s">
        <v>2003</v>
      </c>
      <c r="H5" s="192" t="s">
        <v>2009</v>
      </c>
    </row>
    <row r="6" spans="3:8" ht="50" customHeight="1" x14ac:dyDescent="0.2">
      <c r="C6" s="194" t="s">
        <v>251</v>
      </c>
      <c r="D6" s="191" t="s">
        <v>2010</v>
      </c>
      <c r="E6" s="191" t="s">
        <v>2011</v>
      </c>
      <c r="F6" s="191" t="s">
        <v>253</v>
      </c>
      <c r="G6" s="191" t="s">
        <v>2012</v>
      </c>
      <c r="H6" s="191" t="s">
        <v>2013</v>
      </c>
    </row>
    <row r="7" spans="3:8" ht="50" customHeight="1" x14ac:dyDescent="0.2">
      <c r="C7" s="194" t="s">
        <v>256</v>
      </c>
      <c r="D7" s="191" t="s">
        <v>2014</v>
      </c>
      <c r="E7" s="191" t="s">
        <v>2015</v>
      </c>
      <c r="F7" s="191" t="s">
        <v>258</v>
      </c>
      <c r="G7" s="191" t="s">
        <v>2016</v>
      </c>
      <c r="H7" s="191" t="s">
        <v>260</v>
      </c>
    </row>
    <row r="8" spans="3:8" ht="50" customHeight="1" x14ac:dyDescent="0.2">
      <c r="C8" s="194" t="s">
        <v>261</v>
      </c>
      <c r="D8" s="191" t="s">
        <v>262</v>
      </c>
      <c r="E8" s="191" t="s">
        <v>2017</v>
      </c>
      <c r="F8" s="191" t="s">
        <v>263</v>
      </c>
      <c r="G8" s="191" t="s">
        <v>264</v>
      </c>
      <c r="H8" s="191" t="s">
        <v>2018</v>
      </c>
    </row>
    <row r="9" spans="3:8" ht="50" customHeight="1" x14ac:dyDescent="0.2">
      <c r="C9" s="194" t="s">
        <v>266</v>
      </c>
      <c r="D9" s="191" t="s">
        <v>267</v>
      </c>
      <c r="E9" s="191" t="s">
        <v>2019</v>
      </c>
      <c r="F9" s="191" t="s">
        <v>268</v>
      </c>
      <c r="G9" s="191" t="s">
        <v>364</v>
      </c>
      <c r="H9" s="191" t="s">
        <v>270</v>
      </c>
    </row>
    <row r="10" spans="3:8" ht="50" customHeight="1" x14ac:dyDescent="0.2">
      <c r="C10" s="194" t="s">
        <v>271</v>
      </c>
      <c r="D10" s="191" t="s">
        <v>272</v>
      </c>
      <c r="E10" s="191" t="s">
        <v>2020</v>
      </c>
      <c r="F10" s="191" t="s">
        <v>273</v>
      </c>
      <c r="G10" s="191" t="s">
        <v>2021</v>
      </c>
      <c r="H10" s="191" t="s">
        <v>2022</v>
      </c>
    </row>
    <row r="11" spans="3:8" ht="50" customHeight="1" x14ac:dyDescent="0.2">
      <c r="C11" s="194" t="s">
        <v>276</v>
      </c>
      <c r="D11" s="191" t="s">
        <v>277</v>
      </c>
      <c r="E11" s="191" t="s">
        <v>2023</v>
      </c>
      <c r="F11" s="191" t="s">
        <v>278</v>
      </c>
      <c r="G11" s="191" t="s">
        <v>279</v>
      </c>
      <c r="H11" s="191" t="s">
        <v>280</v>
      </c>
    </row>
  </sheetData>
  <pageMargins left="0.7" right="0.7" top="0.75" bottom="0.75" header="0.3" footer="0.3"/>
  <pageSetup scale="59" orientation="landscape"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48D57-9DAA-4ADB-923B-7AB58F759401}">
  <dimension ref="A1:U60"/>
  <sheetViews>
    <sheetView workbookViewId="0">
      <selection sqref="A1:U1"/>
    </sheetView>
  </sheetViews>
  <sheetFormatPr baseColWidth="10" defaultColWidth="8.83203125" defaultRowHeight="16" x14ac:dyDescent="0.2"/>
  <cols>
    <col min="1" max="1" width="11" style="3" customWidth="1"/>
    <col min="2" max="2" width="13.6640625" style="3" customWidth="1"/>
    <col min="3" max="3" width="11.6640625" style="3" customWidth="1"/>
    <col min="4" max="4" width="18.33203125" style="3" customWidth="1"/>
    <col min="5" max="5" width="10.33203125" style="3" customWidth="1"/>
    <col min="6" max="6" width="25" style="3" customWidth="1"/>
    <col min="7" max="7" width="21.6640625" style="3" customWidth="1"/>
    <col min="8" max="8" width="50" style="3" customWidth="1"/>
    <col min="9" max="9" width="18.33203125" style="3" customWidth="1"/>
    <col min="10" max="11" width="13.33203125" style="3" customWidth="1"/>
    <col min="12" max="12" width="14.1640625" style="3" customWidth="1"/>
    <col min="13" max="13" width="28.33203125" style="3" customWidth="1"/>
    <col min="14" max="14" width="41.6640625" style="3" customWidth="1"/>
    <col min="15" max="15" width="18.33203125" style="3" customWidth="1"/>
    <col min="16" max="16" width="14.6640625" style="3" customWidth="1"/>
    <col min="17" max="17" width="18.33203125" style="3" customWidth="1"/>
    <col min="18" max="18" width="13.6640625" style="3" customWidth="1"/>
    <col min="19" max="19" width="10.33203125" style="3" customWidth="1"/>
    <col min="20" max="20" width="14.6640625" style="3" customWidth="1"/>
    <col min="21" max="21" width="28.33203125" style="3" customWidth="1"/>
  </cols>
  <sheetData>
    <row r="1" spans="1:21" ht="26" customHeight="1" x14ac:dyDescent="0.2">
      <c r="A1" s="249" t="s">
        <v>2024</v>
      </c>
      <c r="B1" s="249"/>
      <c r="C1" s="249"/>
      <c r="D1" s="249"/>
      <c r="E1" s="249"/>
      <c r="F1" s="249"/>
      <c r="G1" s="249"/>
      <c r="H1" s="249"/>
      <c r="I1" s="249"/>
      <c r="J1" s="249"/>
      <c r="K1" s="249"/>
      <c r="L1" s="249"/>
      <c r="M1" s="249"/>
      <c r="N1" s="249"/>
      <c r="O1" s="249"/>
      <c r="P1" s="249"/>
      <c r="Q1" s="249"/>
      <c r="R1" s="249"/>
      <c r="S1" s="249"/>
      <c r="T1" s="249"/>
      <c r="U1" s="249"/>
    </row>
    <row r="2" spans="1:21" ht="36" customHeight="1" x14ac:dyDescent="0.2">
      <c r="A2" s="257" t="s">
        <v>2025</v>
      </c>
      <c r="B2" s="257"/>
      <c r="C2" s="257"/>
      <c r="D2" s="257"/>
      <c r="E2" s="257"/>
      <c r="F2" s="257"/>
      <c r="G2" s="257"/>
      <c r="H2" s="257"/>
      <c r="I2" s="257"/>
      <c r="J2" s="257"/>
      <c r="K2" s="257"/>
      <c r="L2" s="257"/>
      <c r="M2" s="257"/>
      <c r="N2" s="257"/>
      <c r="O2" s="257"/>
      <c r="P2" s="257"/>
      <c r="Q2" s="257"/>
      <c r="R2" s="257"/>
      <c r="S2" s="257"/>
      <c r="T2" s="257"/>
      <c r="U2" s="257"/>
    </row>
    <row r="3" spans="1:21" x14ac:dyDescent="0.2">
      <c r="A3" s="4"/>
      <c r="B3" s="4"/>
      <c r="C3" s="4"/>
      <c r="D3" s="4"/>
      <c r="E3" s="4"/>
      <c r="F3" s="4"/>
      <c r="G3" s="4"/>
      <c r="H3" s="4"/>
      <c r="I3" s="4"/>
      <c r="J3" s="4"/>
      <c r="K3" s="4"/>
      <c r="L3" s="4"/>
      <c r="M3" s="4"/>
      <c r="N3" s="4"/>
      <c r="O3" s="4"/>
      <c r="P3" s="4"/>
      <c r="Q3" s="4"/>
      <c r="R3" s="4"/>
      <c r="S3" s="4"/>
      <c r="T3" s="4"/>
      <c r="U3" s="4"/>
    </row>
    <row r="4" spans="1:21" ht="22" customHeight="1" x14ac:dyDescent="0.2">
      <c r="A4" s="231" t="s">
        <v>2026</v>
      </c>
      <c r="B4" s="233">
        <f>COUNTA($A$7:$A$60)</f>
        <v>0</v>
      </c>
      <c r="C4" s="231" t="s">
        <v>1437</v>
      </c>
      <c r="D4" s="233">
        <f>COUNTIF($T$7:$T$60,"Open")+COUNTIF($T$7:$T$60,"In Progress")</f>
        <v>0</v>
      </c>
      <c r="E4" s="231" t="s">
        <v>2027</v>
      </c>
      <c r="F4" s="233">
        <f>COUNTIF($T$7:$T$60,"Closed")</f>
        <v>0</v>
      </c>
      <c r="G4" s="231" t="s">
        <v>2028</v>
      </c>
      <c r="H4" s="233" cm="1">
        <f t="array" aca="1" ref="H4" ca="1">SUMPRODUCT(($P$7:$P$60&lt;&gt;"")*($R$7:$R$60="")*($P$7:$P$60&lt;TODAY()))</f>
        <v>0</v>
      </c>
      <c r="I4" s="231" t="s">
        <v>2029</v>
      </c>
      <c r="J4" s="231"/>
      <c r="K4" s="233" t="str">
        <f>IFERROR(AVERAGEIFS($S$7:$S$60,$T$7:$T$60,"Closed"),"—")</f>
        <v>—</v>
      </c>
      <c r="L4" s="4"/>
      <c r="M4" s="4"/>
      <c r="N4" s="4"/>
      <c r="O4" s="4"/>
      <c r="P4" s="4"/>
      <c r="Q4" s="4"/>
      <c r="R4" s="4"/>
      <c r="S4" s="4"/>
      <c r="T4" s="4"/>
      <c r="U4" s="4"/>
    </row>
    <row r="5" spans="1:21" x14ac:dyDescent="0.2">
      <c r="A5" s="4"/>
      <c r="B5" s="4"/>
      <c r="C5" s="4"/>
      <c r="D5" s="4"/>
      <c r="E5" s="4"/>
      <c r="F5" s="4"/>
      <c r="G5" s="4"/>
      <c r="H5" s="4"/>
      <c r="I5" s="4"/>
      <c r="J5" s="4"/>
      <c r="K5" s="4"/>
      <c r="L5" s="4"/>
      <c r="M5" s="4"/>
      <c r="N5" s="4"/>
      <c r="O5" s="4"/>
      <c r="P5" s="4"/>
      <c r="Q5" s="4"/>
      <c r="R5" s="4"/>
      <c r="S5" s="4"/>
      <c r="T5" s="4"/>
      <c r="U5" s="4"/>
    </row>
    <row r="6" spans="1:21" ht="44" customHeight="1" x14ac:dyDescent="0.2">
      <c r="A6" s="48" t="s">
        <v>2030</v>
      </c>
      <c r="B6" s="48" t="s">
        <v>2031</v>
      </c>
      <c r="C6" s="48" t="s">
        <v>241</v>
      </c>
      <c r="D6" s="48" t="s">
        <v>2032</v>
      </c>
      <c r="E6" s="48" t="s">
        <v>185</v>
      </c>
      <c r="F6" s="48" t="s">
        <v>2033</v>
      </c>
      <c r="G6" s="48" t="s">
        <v>1497</v>
      </c>
      <c r="H6" s="48" t="s">
        <v>2034</v>
      </c>
      <c r="I6" s="48" t="s">
        <v>2035</v>
      </c>
      <c r="J6" s="48" t="s">
        <v>2036</v>
      </c>
      <c r="K6" s="48" t="s">
        <v>2037</v>
      </c>
      <c r="L6" s="48" t="s">
        <v>2038</v>
      </c>
      <c r="M6" s="48" t="s">
        <v>2039</v>
      </c>
      <c r="N6" s="48" t="s">
        <v>2040</v>
      </c>
      <c r="O6" s="48" t="s">
        <v>2041</v>
      </c>
      <c r="P6" s="48" t="s">
        <v>2042</v>
      </c>
      <c r="Q6" s="48" t="s">
        <v>972</v>
      </c>
      <c r="R6" s="48" t="s">
        <v>1432</v>
      </c>
      <c r="S6" s="48" t="s">
        <v>2043</v>
      </c>
      <c r="T6" s="48" t="s">
        <v>448</v>
      </c>
      <c r="U6" s="48" t="s">
        <v>299</v>
      </c>
    </row>
    <row r="7" spans="1:21" x14ac:dyDescent="0.2">
      <c r="A7" s="196"/>
      <c r="B7" s="116"/>
      <c r="C7" s="128"/>
      <c r="D7" s="128"/>
      <c r="E7" s="128"/>
      <c r="F7" s="128"/>
      <c r="G7" s="128"/>
      <c r="H7" s="128"/>
      <c r="I7" s="128"/>
      <c r="J7" s="117"/>
      <c r="K7" s="117"/>
      <c r="L7" s="117"/>
      <c r="M7" s="117"/>
      <c r="N7" s="128"/>
      <c r="O7" s="128"/>
      <c r="P7" s="116"/>
      <c r="Q7" s="117"/>
      <c r="R7" s="116"/>
      <c r="S7" s="201" t="str">
        <f t="shared" ref="S7:S38" ca="1" si="0">IF($B7="","",IF($R7&lt;&gt;"",$R7-$B7,TODAY()-$B7))</f>
        <v/>
      </c>
      <c r="T7" s="117"/>
      <c r="U7" s="197"/>
    </row>
    <row r="8" spans="1:21" x14ac:dyDescent="0.2">
      <c r="A8" s="198"/>
      <c r="B8" s="105"/>
      <c r="C8" s="130"/>
      <c r="D8" s="130"/>
      <c r="E8" s="130"/>
      <c r="F8" s="130"/>
      <c r="G8" s="130"/>
      <c r="H8" s="130"/>
      <c r="I8" s="130"/>
      <c r="J8" s="106"/>
      <c r="K8" s="106"/>
      <c r="L8" s="106"/>
      <c r="M8" s="106"/>
      <c r="N8" s="130"/>
      <c r="O8" s="130"/>
      <c r="P8" s="105"/>
      <c r="Q8" s="106"/>
      <c r="R8" s="105"/>
      <c r="S8" s="202" t="str">
        <f t="shared" ca="1" si="0"/>
        <v/>
      </c>
      <c r="T8" s="106"/>
      <c r="U8" s="177"/>
    </row>
    <row r="9" spans="1:21" x14ac:dyDescent="0.2">
      <c r="A9" s="198"/>
      <c r="B9" s="105"/>
      <c r="C9" s="130"/>
      <c r="D9" s="130"/>
      <c r="E9" s="130"/>
      <c r="F9" s="130"/>
      <c r="G9" s="130"/>
      <c r="H9" s="130"/>
      <c r="I9" s="130"/>
      <c r="J9" s="106"/>
      <c r="K9" s="106"/>
      <c r="L9" s="106"/>
      <c r="M9" s="106"/>
      <c r="N9" s="130"/>
      <c r="O9" s="130"/>
      <c r="P9" s="105"/>
      <c r="Q9" s="106"/>
      <c r="R9" s="105"/>
      <c r="S9" s="202" t="str">
        <f t="shared" ca="1" si="0"/>
        <v/>
      </c>
      <c r="T9" s="106"/>
      <c r="U9" s="177"/>
    </row>
    <row r="10" spans="1:21" x14ac:dyDescent="0.2">
      <c r="A10" s="198"/>
      <c r="B10" s="105"/>
      <c r="C10" s="130"/>
      <c r="D10" s="130"/>
      <c r="E10" s="130"/>
      <c r="F10" s="130"/>
      <c r="G10" s="130"/>
      <c r="H10" s="130"/>
      <c r="I10" s="130"/>
      <c r="J10" s="106"/>
      <c r="K10" s="106"/>
      <c r="L10" s="106"/>
      <c r="M10" s="106"/>
      <c r="N10" s="130"/>
      <c r="O10" s="130"/>
      <c r="P10" s="105"/>
      <c r="Q10" s="106"/>
      <c r="R10" s="105"/>
      <c r="S10" s="202" t="str">
        <f t="shared" ca="1" si="0"/>
        <v/>
      </c>
      <c r="T10" s="106"/>
      <c r="U10" s="177"/>
    </row>
    <row r="11" spans="1:21" x14ac:dyDescent="0.2">
      <c r="A11" s="198"/>
      <c r="B11" s="105"/>
      <c r="C11" s="130"/>
      <c r="D11" s="130"/>
      <c r="E11" s="130"/>
      <c r="F11" s="130"/>
      <c r="G11" s="130"/>
      <c r="H11" s="130"/>
      <c r="I11" s="130"/>
      <c r="J11" s="106"/>
      <c r="K11" s="106"/>
      <c r="L11" s="106"/>
      <c r="M11" s="106"/>
      <c r="N11" s="130"/>
      <c r="O11" s="130"/>
      <c r="P11" s="105"/>
      <c r="Q11" s="106"/>
      <c r="R11" s="105"/>
      <c r="S11" s="202" t="str">
        <f t="shared" ca="1" si="0"/>
        <v/>
      </c>
      <c r="T11" s="106"/>
      <c r="U11" s="177"/>
    </row>
    <row r="12" spans="1:21" x14ac:dyDescent="0.2">
      <c r="A12" s="198"/>
      <c r="B12" s="105"/>
      <c r="C12" s="130"/>
      <c r="D12" s="130"/>
      <c r="E12" s="130"/>
      <c r="F12" s="130"/>
      <c r="G12" s="130"/>
      <c r="H12" s="130"/>
      <c r="I12" s="130"/>
      <c r="J12" s="106"/>
      <c r="K12" s="106"/>
      <c r="L12" s="106"/>
      <c r="M12" s="106"/>
      <c r="N12" s="130"/>
      <c r="O12" s="130"/>
      <c r="P12" s="105"/>
      <c r="Q12" s="106"/>
      <c r="R12" s="105"/>
      <c r="S12" s="202" t="str">
        <f t="shared" ca="1" si="0"/>
        <v/>
      </c>
      <c r="T12" s="106"/>
      <c r="U12" s="177"/>
    </row>
    <row r="13" spans="1:21" x14ac:dyDescent="0.2">
      <c r="A13" s="198"/>
      <c r="B13" s="105"/>
      <c r="C13" s="130"/>
      <c r="D13" s="130"/>
      <c r="E13" s="130"/>
      <c r="F13" s="130"/>
      <c r="G13" s="130"/>
      <c r="H13" s="130"/>
      <c r="I13" s="130"/>
      <c r="J13" s="106"/>
      <c r="K13" s="106"/>
      <c r="L13" s="106"/>
      <c r="M13" s="106"/>
      <c r="N13" s="130"/>
      <c r="O13" s="130"/>
      <c r="P13" s="105"/>
      <c r="Q13" s="106"/>
      <c r="R13" s="105"/>
      <c r="S13" s="202" t="str">
        <f t="shared" ca="1" si="0"/>
        <v/>
      </c>
      <c r="T13" s="106"/>
      <c r="U13" s="177"/>
    </row>
    <row r="14" spans="1:21" x14ac:dyDescent="0.2">
      <c r="A14" s="198"/>
      <c r="B14" s="105"/>
      <c r="C14" s="130"/>
      <c r="D14" s="130"/>
      <c r="E14" s="130"/>
      <c r="F14" s="130"/>
      <c r="G14" s="130"/>
      <c r="H14" s="130"/>
      <c r="I14" s="130"/>
      <c r="J14" s="106"/>
      <c r="K14" s="106"/>
      <c r="L14" s="106"/>
      <c r="M14" s="106"/>
      <c r="N14" s="130"/>
      <c r="O14" s="130"/>
      <c r="P14" s="105"/>
      <c r="Q14" s="106"/>
      <c r="R14" s="105"/>
      <c r="S14" s="202" t="str">
        <f t="shared" ca="1" si="0"/>
        <v/>
      </c>
      <c r="T14" s="106"/>
      <c r="U14" s="177"/>
    </row>
    <row r="15" spans="1:21" x14ac:dyDescent="0.2">
      <c r="A15" s="198"/>
      <c r="B15" s="105"/>
      <c r="C15" s="130"/>
      <c r="D15" s="130"/>
      <c r="E15" s="130"/>
      <c r="F15" s="130"/>
      <c r="G15" s="130"/>
      <c r="H15" s="130"/>
      <c r="I15" s="130"/>
      <c r="J15" s="106"/>
      <c r="K15" s="106"/>
      <c r="L15" s="106"/>
      <c r="M15" s="106"/>
      <c r="N15" s="130"/>
      <c r="O15" s="130"/>
      <c r="P15" s="105"/>
      <c r="Q15" s="106"/>
      <c r="R15" s="105"/>
      <c r="S15" s="202" t="str">
        <f t="shared" ca="1" si="0"/>
        <v/>
      </c>
      <c r="T15" s="106"/>
      <c r="U15" s="177"/>
    </row>
    <row r="16" spans="1:21" x14ac:dyDescent="0.2">
      <c r="A16" s="198"/>
      <c r="B16" s="105"/>
      <c r="C16" s="130"/>
      <c r="D16" s="130"/>
      <c r="E16" s="130"/>
      <c r="F16" s="130"/>
      <c r="G16" s="130"/>
      <c r="H16" s="130"/>
      <c r="I16" s="130"/>
      <c r="J16" s="106"/>
      <c r="K16" s="106"/>
      <c r="L16" s="106"/>
      <c r="M16" s="106"/>
      <c r="N16" s="130"/>
      <c r="O16" s="130"/>
      <c r="P16" s="105"/>
      <c r="Q16" s="106"/>
      <c r="R16" s="105"/>
      <c r="S16" s="202" t="str">
        <f t="shared" ca="1" si="0"/>
        <v/>
      </c>
      <c r="T16" s="106"/>
      <c r="U16" s="177"/>
    </row>
    <row r="17" spans="1:21" x14ac:dyDescent="0.2">
      <c r="A17" s="198"/>
      <c r="B17" s="105"/>
      <c r="C17" s="130"/>
      <c r="D17" s="130"/>
      <c r="E17" s="130"/>
      <c r="F17" s="130"/>
      <c r="G17" s="130"/>
      <c r="H17" s="130"/>
      <c r="I17" s="130"/>
      <c r="J17" s="106"/>
      <c r="K17" s="106"/>
      <c r="L17" s="106"/>
      <c r="M17" s="106"/>
      <c r="N17" s="130"/>
      <c r="O17" s="130"/>
      <c r="P17" s="105"/>
      <c r="Q17" s="106"/>
      <c r="R17" s="105"/>
      <c r="S17" s="202" t="str">
        <f t="shared" ca="1" si="0"/>
        <v/>
      </c>
      <c r="T17" s="106"/>
      <c r="U17" s="177"/>
    </row>
    <row r="18" spans="1:21" x14ac:dyDescent="0.2">
      <c r="A18" s="198"/>
      <c r="B18" s="105"/>
      <c r="C18" s="130"/>
      <c r="D18" s="130"/>
      <c r="E18" s="130"/>
      <c r="F18" s="130"/>
      <c r="G18" s="130"/>
      <c r="H18" s="130"/>
      <c r="I18" s="130"/>
      <c r="J18" s="106"/>
      <c r="K18" s="106"/>
      <c r="L18" s="106"/>
      <c r="M18" s="106"/>
      <c r="N18" s="130"/>
      <c r="O18" s="130"/>
      <c r="P18" s="105"/>
      <c r="Q18" s="106"/>
      <c r="R18" s="105"/>
      <c r="S18" s="202" t="str">
        <f t="shared" ca="1" si="0"/>
        <v/>
      </c>
      <c r="T18" s="106"/>
      <c r="U18" s="177"/>
    </row>
    <row r="19" spans="1:21" x14ac:dyDescent="0.2">
      <c r="A19" s="198"/>
      <c r="B19" s="105"/>
      <c r="C19" s="130"/>
      <c r="D19" s="130"/>
      <c r="E19" s="130"/>
      <c r="F19" s="130"/>
      <c r="G19" s="130"/>
      <c r="H19" s="130"/>
      <c r="I19" s="130"/>
      <c r="J19" s="106"/>
      <c r="K19" s="106"/>
      <c r="L19" s="106"/>
      <c r="M19" s="106"/>
      <c r="N19" s="130"/>
      <c r="O19" s="130"/>
      <c r="P19" s="105"/>
      <c r="Q19" s="106"/>
      <c r="R19" s="105"/>
      <c r="S19" s="202" t="str">
        <f t="shared" ca="1" si="0"/>
        <v/>
      </c>
      <c r="T19" s="106"/>
      <c r="U19" s="177"/>
    </row>
    <row r="20" spans="1:21" x14ac:dyDescent="0.2">
      <c r="A20" s="198"/>
      <c r="B20" s="105"/>
      <c r="C20" s="130"/>
      <c r="D20" s="130"/>
      <c r="E20" s="130"/>
      <c r="F20" s="130"/>
      <c r="G20" s="130"/>
      <c r="H20" s="130"/>
      <c r="I20" s="130"/>
      <c r="J20" s="106"/>
      <c r="K20" s="106"/>
      <c r="L20" s="106"/>
      <c r="M20" s="106"/>
      <c r="N20" s="130"/>
      <c r="O20" s="130"/>
      <c r="P20" s="105"/>
      <c r="Q20" s="106"/>
      <c r="R20" s="105"/>
      <c r="S20" s="202" t="str">
        <f t="shared" ca="1" si="0"/>
        <v/>
      </c>
      <c r="T20" s="106"/>
      <c r="U20" s="177"/>
    </row>
    <row r="21" spans="1:21" x14ac:dyDescent="0.2">
      <c r="A21" s="198"/>
      <c r="B21" s="105"/>
      <c r="C21" s="130"/>
      <c r="D21" s="130"/>
      <c r="E21" s="130"/>
      <c r="F21" s="130"/>
      <c r="G21" s="130"/>
      <c r="H21" s="130"/>
      <c r="I21" s="130"/>
      <c r="J21" s="106"/>
      <c r="K21" s="106"/>
      <c r="L21" s="106"/>
      <c r="M21" s="106"/>
      <c r="N21" s="130"/>
      <c r="O21" s="130"/>
      <c r="P21" s="105"/>
      <c r="Q21" s="106"/>
      <c r="R21" s="105"/>
      <c r="S21" s="202" t="str">
        <f t="shared" ca="1" si="0"/>
        <v/>
      </c>
      <c r="T21" s="106"/>
      <c r="U21" s="177"/>
    </row>
    <row r="22" spans="1:21" x14ac:dyDescent="0.2">
      <c r="A22" s="198"/>
      <c r="B22" s="105"/>
      <c r="C22" s="130"/>
      <c r="D22" s="130"/>
      <c r="E22" s="130"/>
      <c r="F22" s="130"/>
      <c r="G22" s="130"/>
      <c r="H22" s="130"/>
      <c r="I22" s="130"/>
      <c r="J22" s="106"/>
      <c r="K22" s="106"/>
      <c r="L22" s="106"/>
      <c r="M22" s="106"/>
      <c r="N22" s="130"/>
      <c r="O22" s="130"/>
      <c r="P22" s="105"/>
      <c r="Q22" s="106"/>
      <c r="R22" s="105"/>
      <c r="S22" s="202" t="str">
        <f t="shared" ca="1" si="0"/>
        <v/>
      </c>
      <c r="T22" s="106"/>
      <c r="U22" s="177"/>
    </row>
    <row r="23" spans="1:21" x14ac:dyDescent="0.2">
      <c r="A23" s="198"/>
      <c r="B23" s="105"/>
      <c r="C23" s="130"/>
      <c r="D23" s="130"/>
      <c r="E23" s="130"/>
      <c r="F23" s="130"/>
      <c r="G23" s="130"/>
      <c r="H23" s="130"/>
      <c r="I23" s="130"/>
      <c r="J23" s="106"/>
      <c r="K23" s="106"/>
      <c r="L23" s="106"/>
      <c r="M23" s="106"/>
      <c r="N23" s="130"/>
      <c r="O23" s="130"/>
      <c r="P23" s="105"/>
      <c r="Q23" s="106"/>
      <c r="R23" s="105"/>
      <c r="S23" s="202" t="str">
        <f t="shared" ca="1" si="0"/>
        <v/>
      </c>
      <c r="T23" s="106"/>
      <c r="U23" s="177"/>
    </row>
    <row r="24" spans="1:21" x14ac:dyDescent="0.2">
      <c r="A24" s="198"/>
      <c r="B24" s="105"/>
      <c r="C24" s="130"/>
      <c r="D24" s="130"/>
      <c r="E24" s="130"/>
      <c r="F24" s="130"/>
      <c r="G24" s="130"/>
      <c r="H24" s="130"/>
      <c r="I24" s="130"/>
      <c r="J24" s="106"/>
      <c r="K24" s="106"/>
      <c r="L24" s="106"/>
      <c r="M24" s="106"/>
      <c r="N24" s="130"/>
      <c r="O24" s="130"/>
      <c r="P24" s="105"/>
      <c r="Q24" s="106"/>
      <c r="R24" s="105"/>
      <c r="S24" s="202" t="str">
        <f t="shared" ca="1" si="0"/>
        <v/>
      </c>
      <c r="T24" s="106"/>
      <c r="U24" s="177"/>
    </row>
    <row r="25" spans="1:21" x14ac:dyDescent="0.2">
      <c r="A25" s="198"/>
      <c r="B25" s="105"/>
      <c r="C25" s="130"/>
      <c r="D25" s="130"/>
      <c r="E25" s="130"/>
      <c r="F25" s="130"/>
      <c r="G25" s="130"/>
      <c r="H25" s="130"/>
      <c r="I25" s="130"/>
      <c r="J25" s="106"/>
      <c r="K25" s="106"/>
      <c r="L25" s="106"/>
      <c r="M25" s="106"/>
      <c r="N25" s="130"/>
      <c r="O25" s="130"/>
      <c r="P25" s="105"/>
      <c r="Q25" s="106"/>
      <c r="R25" s="105"/>
      <c r="S25" s="202" t="str">
        <f t="shared" ca="1" si="0"/>
        <v/>
      </c>
      <c r="T25" s="106"/>
      <c r="U25" s="177"/>
    </row>
    <row r="26" spans="1:21" x14ac:dyDescent="0.2">
      <c r="A26" s="198"/>
      <c r="B26" s="105"/>
      <c r="C26" s="130"/>
      <c r="D26" s="130"/>
      <c r="E26" s="130"/>
      <c r="F26" s="130"/>
      <c r="G26" s="130"/>
      <c r="H26" s="130"/>
      <c r="I26" s="130"/>
      <c r="J26" s="106"/>
      <c r="K26" s="106"/>
      <c r="L26" s="106"/>
      <c r="M26" s="106"/>
      <c r="N26" s="130"/>
      <c r="O26" s="130"/>
      <c r="P26" s="105"/>
      <c r="Q26" s="106"/>
      <c r="R26" s="105"/>
      <c r="S26" s="202" t="str">
        <f t="shared" ca="1" si="0"/>
        <v/>
      </c>
      <c r="T26" s="106"/>
      <c r="U26" s="177"/>
    </row>
    <row r="27" spans="1:21" x14ac:dyDescent="0.2">
      <c r="A27" s="198"/>
      <c r="B27" s="105"/>
      <c r="C27" s="130"/>
      <c r="D27" s="130"/>
      <c r="E27" s="130"/>
      <c r="F27" s="130"/>
      <c r="G27" s="130"/>
      <c r="H27" s="130"/>
      <c r="I27" s="130"/>
      <c r="J27" s="106"/>
      <c r="K27" s="106"/>
      <c r="L27" s="106"/>
      <c r="M27" s="106"/>
      <c r="N27" s="130"/>
      <c r="O27" s="130"/>
      <c r="P27" s="105"/>
      <c r="Q27" s="106"/>
      <c r="R27" s="105"/>
      <c r="S27" s="202" t="str">
        <f t="shared" ca="1" si="0"/>
        <v/>
      </c>
      <c r="T27" s="106"/>
      <c r="U27" s="177"/>
    </row>
    <row r="28" spans="1:21" x14ac:dyDescent="0.2">
      <c r="A28" s="198"/>
      <c r="B28" s="105"/>
      <c r="C28" s="130"/>
      <c r="D28" s="130"/>
      <c r="E28" s="130"/>
      <c r="F28" s="130"/>
      <c r="G28" s="130"/>
      <c r="H28" s="130"/>
      <c r="I28" s="130"/>
      <c r="J28" s="106"/>
      <c r="K28" s="106"/>
      <c r="L28" s="106"/>
      <c r="M28" s="106"/>
      <c r="N28" s="130"/>
      <c r="O28" s="130"/>
      <c r="P28" s="105"/>
      <c r="Q28" s="106"/>
      <c r="R28" s="105"/>
      <c r="S28" s="202" t="str">
        <f t="shared" ca="1" si="0"/>
        <v/>
      </c>
      <c r="T28" s="106"/>
      <c r="U28" s="177"/>
    </row>
    <row r="29" spans="1:21" x14ac:dyDescent="0.2">
      <c r="A29" s="198"/>
      <c r="B29" s="105"/>
      <c r="C29" s="130"/>
      <c r="D29" s="130"/>
      <c r="E29" s="130"/>
      <c r="F29" s="130"/>
      <c r="G29" s="130"/>
      <c r="H29" s="130"/>
      <c r="I29" s="130"/>
      <c r="J29" s="106"/>
      <c r="K29" s="106"/>
      <c r="L29" s="106"/>
      <c r="M29" s="106"/>
      <c r="N29" s="130"/>
      <c r="O29" s="130"/>
      <c r="P29" s="105"/>
      <c r="Q29" s="106"/>
      <c r="R29" s="105"/>
      <c r="S29" s="202" t="str">
        <f t="shared" ca="1" si="0"/>
        <v/>
      </c>
      <c r="T29" s="106"/>
      <c r="U29" s="177"/>
    </row>
    <row r="30" spans="1:21" x14ac:dyDescent="0.2">
      <c r="A30" s="198"/>
      <c r="B30" s="105"/>
      <c r="C30" s="130"/>
      <c r="D30" s="130"/>
      <c r="E30" s="130"/>
      <c r="F30" s="130"/>
      <c r="G30" s="130"/>
      <c r="H30" s="130"/>
      <c r="I30" s="130"/>
      <c r="J30" s="106"/>
      <c r="K30" s="106"/>
      <c r="L30" s="106"/>
      <c r="M30" s="106"/>
      <c r="N30" s="130"/>
      <c r="O30" s="130"/>
      <c r="P30" s="105"/>
      <c r="Q30" s="106"/>
      <c r="R30" s="105"/>
      <c r="S30" s="202" t="str">
        <f t="shared" ca="1" si="0"/>
        <v/>
      </c>
      <c r="T30" s="106"/>
      <c r="U30" s="177"/>
    </row>
    <row r="31" spans="1:21" x14ac:dyDescent="0.2">
      <c r="A31" s="198"/>
      <c r="B31" s="105"/>
      <c r="C31" s="130"/>
      <c r="D31" s="130"/>
      <c r="E31" s="130"/>
      <c r="F31" s="130"/>
      <c r="G31" s="130"/>
      <c r="H31" s="130"/>
      <c r="I31" s="130"/>
      <c r="J31" s="106"/>
      <c r="K31" s="106"/>
      <c r="L31" s="106"/>
      <c r="M31" s="106"/>
      <c r="N31" s="130"/>
      <c r="O31" s="130"/>
      <c r="P31" s="105"/>
      <c r="Q31" s="106"/>
      <c r="R31" s="105"/>
      <c r="S31" s="202" t="str">
        <f t="shared" ca="1" si="0"/>
        <v/>
      </c>
      <c r="T31" s="106"/>
      <c r="U31" s="177"/>
    </row>
    <row r="32" spans="1:21" x14ac:dyDescent="0.2">
      <c r="A32" s="198"/>
      <c r="B32" s="105"/>
      <c r="C32" s="130"/>
      <c r="D32" s="130"/>
      <c r="E32" s="130"/>
      <c r="F32" s="130"/>
      <c r="G32" s="130"/>
      <c r="H32" s="130"/>
      <c r="I32" s="130"/>
      <c r="J32" s="106"/>
      <c r="K32" s="106"/>
      <c r="L32" s="106"/>
      <c r="M32" s="106"/>
      <c r="N32" s="130"/>
      <c r="O32" s="130"/>
      <c r="P32" s="105"/>
      <c r="Q32" s="106"/>
      <c r="R32" s="105"/>
      <c r="S32" s="202" t="str">
        <f t="shared" ca="1" si="0"/>
        <v/>
      </c>
      <c r="T32" s="106"/>
      <c r="U32" s="177"/>
    </row>
    <row r="33" spans="1:21" x14ac:dyDescent="0.2">
      <c r="A33" s="198"/>
      <c r="B33" s="105"/>
      <c r="C33" s="130"/>
      <c r="D33" s="130"/>
      <c r="E33" s="130"/>
      <c r="F33" s="130"/>
      <c r="G33" s="130"/>
      <c r="H33" s="130"/>
      <c r="I33" s="130"/>
      <c r="J33" s="106"/>
      <c r="K33" s="106"/>
      <c r="L33" s="106"/>
      <c r="M33" s="106"/>
      <c r="N33" s="130"/>
      <c r="O33" s="130"/>
      <c r="P33" s="105"/>
      <c r="Q33" s="106"/>
      <c r="R33" s="105"/>
      <c r="S33" s="202" t="str">
        <f t="shared" ca="1" si="0"/>
        <v/>
      </c>
      <c r="T33" s="106"/>
      <c r="U33" s="177"/>
    </row>
    <row r="34" spans="1:21" x14ac:dyDescent="0.2">
      <c r="A34" s="198"/>
      <c r="B34" s="105"/>
      <c r="C34" s="130"/>
      <c r="D34" s="130"/>
      <c r="E34" s="130"/>
      <c r="F34" s="130"/>
      <c r="G34" s="130"/>
      <c r="H34" s="130"/>
      <c r="I34" s="130"/>
      <c r="J34" s="106"/>
      <c r="K34" s="106"/>
      <c r="L34" s="106"/>
      <c r="M34" s="106"/>
      <c r="N34" s="130"/>
      <c r="O34" s="130"/>
      <c r="P34" s="105"/>
      <c r="Q34" s="106"/>
      <c r="R34" s="105"/>
      <c r="S34" s="202" t="str">
        <f t="shared" ca="1" si="0"/>
        <v/>
      </c>
      <c r="T34" s="106"/>
      <c r="U34" s="177"/>
    </row>
    <row r="35" spans="1:21" x14ac:dyDescent="0.2">
      <c r="A35" s="198"/>
      <c r="B35" s="105"/>
      <c r="C35" s="130"/>
      <c r="D35" s="130"/>
      <c r="E35" s="130"/>
      <c r="F35" s="130"/>
      <c r="G35" s="130"/>
      <c r="H35" s="130"/>
      <c r="I35" s="130"/>
      <c r="J35" s="106"/>
      <c r="K35" s="106"/>
      <c r="L35" s="106"/>
      <c r="M35" s="106"/>
      <c r="N35" s="130"/>
      <c r="O35" s="130"/>
      <c r="P35" s="105"/>
      <c r="Q35" s="106"/>
      <c r="R35" s="105"/>
      <c r="S35" s="202" t="str">
        <f t="shared" ca="1" si="0"/>
        <v/>
      </c>
      <c r="T35" s="106"/>
      <c r="U35" s="177"/>
    </row>
    <row r="36" spans="1:21" x14ac:dyDescent="0.2">
      <c r="A36" s="198"/>
      <c r="B36" s="105"/>
      <c r="C36" s="130"/>
      <c r="D36" s="130"/>
      <c r="E36" s="130"/>
      <c r="F36" s="130"/>
      <c r="G36" s="130"/>
      <c r="H36" s="130"/>
      <c r="I36" s="130"/>
      <c r="J36" s="106"/>
      <c r="K36" s="106"/>
      <c r="L36" s="106"/>
      <c r="M36" s="106"/>
      <c r="N36" s="130"/>
      <c r="O36" s="130"/>
      <c r="P36" s="105"/>
      <c r="Q36" s="106"/>
      <c r="R36" s="105"/>
      <c r="S36" s="202" t="str">
        <f t="shared" ca="1" si="0"/>
        <v/>
      </c>
      <c r="T36" s="106"/>
      <c r="U36" s="177"/>
    </row>
    <row r="37" spans="1:21" x14ac:dyDescent="0.2">
      <c r="A37" s="198"/>
      <c r="B37" s="105"/>
      <c r="C37" s="130"/>
      <c r="D37" s="130"/>
      <c r="E37" s="130"/>
      <c r="F37" s="130"/>
      <c r="G37" s="130"/>
      <c r="H37" s="130"/>
      <c r="I37" s="130"/>
      <c r="J37" s="106"/>
      <c r="K37" s="106"/>
      <c r="L37" s="106"/>
      <c r="M37" s="106"/>
      <c r="N37" s="130"/>
      <c r="O37" s="130"/>
      <c r="P37" s="105"/>
      <c r="Q37" s="106"/>
      <c r="R37" s="105"/>
      <c r="S37" s="202" t="str">
        <f t="shared" ca="1" si="0"/>
        <v/>
      </c>
      <c r="T37" s="106"/>
      <c r="U37" s="177"/>
    </row>
    <row r="38" spans="1:21" x14ac:dyDescent="0.2">
      <c r="A38" s="198"/>
      <c r="B38" s="105"/>
      <c r="C38" s="130"/>
      <c r="D38" s="130"/>
      <c r="E38" s="130"/>
      <c r="F38" s="130"/>
      <c r="G38" s="130"/>
      <c r="H38" s="130"/>
      <c r="I38" s="130"/>
      <c r="J38" s="106"/>
      <c r="K38" s="106"/>
      <c r="L38" s="106"/>
      <c r="M38" s="106"/>
      <c r="N38" s="130"/>
      <c r="O38" s="130"/>
      <c r="P38" s="105"/>
      <c r="Q38" s="106"/>
      <c r="R38" s="105"/>
      <c r="S38" s="202" t="str">
        <f t="shared" ca="1" si="0"/>
        <v/>
      </c>
      <c r="T38" s="106"/>
      <c r="U38" s="177"/>
    </row>
    <row r="39" spans="1:21" x14ac:dyDescent="0.2">
      <c r="A39" s="198"/>
      <c r="B39" s="105"/>
      <c r="C39" s="130"/>
      <c r="D39" s="130"/>
      <c r="E39" s="130"/>
      <c r="F39" s="130"/>
      <c r="G39" s="130"/>
      <c r="H39" s="130"/>
      <c r="I39" s="130"/>
      <c r="J39" s="106"/>
      <c r="K39" s="106"/>
      <c r="L39" s="106"/>
      <c r="M39" s="106"/>
      <c r="N39" s="130"/>
      <c r="O39" s="130"/>
      <c r="P39" s="105"/>
      <c r="Q39" s="106"/>
      <c r="R39" s="105"/>
      <c r="S39" s="202" t="str">
        <f t="shared" ref="S39:S60" ca="1" si="1">IF($B39="","",IF($R39&lt;&gt;"",$R39-$B39,TODAY()-$B39))</f>
        <v/>
      </c>
      <c r="T39" s="106"/>
      <c r="U39" s="177"/>
    </row>
    <row r="40" spans="1:21" x14ac:dyDescent="0.2">
      <c r="A40" s="198"/>
      <c r="B40" s="105"/>
      <c r="C40" s="130"/>
      <c r="D40" s="130"/>
      <c r="E40" s="130"/>
      <c r="F40" s="130"/>
      <c r="G40" s="130"/>
      <c r="H40" s="130"/>
      <c r="I40" s="130"/>
      <c r="J40" s="106"/>
      <c r="K40" s="106"/>
      <c r="L40" s="106"/>
      <c r="M40" s="106"/>
      <c r="N40" s="130"/>
      <c r="O40" s="130"/>
      <c r="P40" s="105"/>
      <c r="Q40" s="106"/>
      <c r="R40" s="105"/>
      <c r="S40" s="202" t="str">
        <f t="shared" ca="1" si="1"/>
        <v/>
      </c>
      <c r="T40" s="106"/>
      <c r="U40" s="177"/>
    </row>
    <row r="41" spans="1:21" x14ac:dyDescent="0.2">
      <c r="A41" s="198"/>
      <c r="B41" s="105"/>
      <c r="C41" s="130"/>
      <c r="D41" s="130"/>
      <c r="E41" s="130"/>
      <c r="F41" s="130"/>
      <c r="G41" s="130"/>
      <c r="H41" s="130"/>
      <c r="I41" s="130"/>
      <c r="J41" s="106"/>
      <c r="K41" s="106"/>
      <c r="L41" s="106"/>
      <c r="M41" s="106"/>
      <c r="N41" s="130"/>
      <c r="O41" s="130"/>
      <c r="P41" s="105"/>
      <c r="Q41" s="106"/>
      <c r="R41" s="105"/>
      <c r="S41" s="202" t="str">
        <f t="shared" ca="1" si="1"/>
        <v/>
      </c>
      <c r="T41" s="106"/>
      <c r="U41" s="177"/>
    </row>
    <row r="42" spans="1:21" x14ac:dyDescent="0.2">
      <c r="A42" s="198"/>
      <c r="B42" s="105"/>
      <c r="C42" s="130"/>
      <c r="D42" s="130"/>
      <c r="E42" s="130"/>
      <c r="F42" s="130"/>
      <c r="G42" s="130"/>
      <c r="H42" s="130"/>
      <c r="I42" s="130"/>
      <c r="J42" s="106"/>
      <c r="K42" s="106"/>
      <c r="L42" s="106"/>
      <c r="M42" s="106"/>
      <c r="N42" s="130"/>
      <c r="O42" s="130"/>
      <c r="P42" s="105"/>
      <c r="Q42" s="106"/>
      <c r="R42" s="105"/>
      <c r="S42" s="202" t="str">
        <f t="shared" ca="1" si="1"/>
        <v/>
      </c>
      <c r="T42" s="106"/>
      <c r="U42" s="177"/>
    </row>
    <row r="43" spans="1:21" x14ac:dyDescent="0.2">
      <c r="A43" s="198"/>
      <c r="B43" s="105"/>
      <c r="C43" s="130"/>
      <c r="D43" s="130"/>
      <c r="E43" s="130"/>
      <c r="F43" s="130"/>
      <c r="G43" s="130"/>
      <c r="H43" s="130"/>
      <c r="I43" s="130"/>
      <c r="J43" s="106"/>
      <c r="K43" s="106"/>
      <c r="L43" s="106"/>
      <c r="M43" s="106"/>
      <c r="N43" s="130"/>
      <c r="O43" s="130"/>
      <c r="P43" s="105"/>
      <c r="Q43" s="106"/>
      <c r="R43" s="105"/>
      <c r="S43" s="202" t="str">
        <f t="shared" ca="1" si="1"/>
        <v/>
      </c>
      <c r="T43" s="106"/>
      <c r="U43" s="177"/>
    </row>
    <row r="44" spans="1:21" x14ac:dyDescent="0.2">
      <c r="A44" s="198"/>
      <c r="B44" s="105"/>
      <c r="C44" s="130"/>
      <c r="D44" s="130"/>
      <c r="E44" s="130"/>
      <c r="F44" s="130"/>
      <c r="G44" s="130"/>
      <c r="H44" s="130"/>
      <c r="I44" s="130"/>
      <c r="J44" s="106"/>
      <c r="K44" s="106"/>
      <c r="L44" s="106"/>
      <c r="M44" s="106"/>
      <c r="N44" s="130"/>
      <c r="O44" s="130"/>
      <c r="P44" s="105"/>
      <c r="Q44" s="106"/>
      <c r="R44" s="105"/>
      <c r="S44" s="202" t="str">
        <f t="shared" ca="1" si="1"/>
        <v/>
      </c>
      <c r="T44" s="106"/>
      <c r="U44" s="177"/>
    </row>
    <row r="45" spans="1:21" x14ac:dyDescent="0.2">
      <c r="A45" s="198"/>
      <c r="B45" s="105"/>
      <c r="C45" s="130"/>
      <c r="D45" s="130"/>
      <c r="E45" s="130"/>
      <c r="F45" s="130"/>
      <c r="G45" s="130"/>
      <c r="H45" s="130"/>
      <c r="I45" s="130"/>
      <c r="J45" s="106"/>
      <c r="K45" s="106"/>
      <c r="L45" s="106"/>
      <c r="M45" s="106"/>
      <c r="N45" s="130"/>
      <c r="O45" s="130"/>
      <c r="P45" s="105"/>
      <c r="Q45" s="106"/>
      <c r="R45" s="105"/>
      <c r="S45" s="202" t="str">
        <f t="shared" ca="1" si="1"/>
        <v/>
      </c>
      <c r="T45" s="106"/>
      <c r="U45" s="177"/>
    </row>
    <row r="46" spans="1:21" x14ac:dyDescent="0.2">
      <c r="A46" s="198"/>
      <c r="B46" s="105"/>
      <c r="C46" s="130"/>
      <c r="D46" s="130"/>
      <c r="E46" s="130"/>
      <c r="F46" s="130"/>
      <c r="G46" s="130"/>
      <c r="H46" s="130"/>
      <c r="I46" s="130"/>
      <c r="J46" s="106"/>
      <c r="K46" s="106"/>
      <c r="L46" s="106"/>
      <c r="M46" s="106"/>
      <c r="N46" s="130"/>
      <c r="O46" s="130"/>
      <c r="P46" s="105"/>
      <c r="Q46" s="106"/>
      <c r="R46" s="105"/>
      <c r="S46" s="202" t="str">
        <f t="shared" ca="1" si="1"/>
        <v/>
      </c>
      <c r="T46" s="106"/>
      <c r="U46" s="177"/>
    </row>
    <row r="47" spans="1:21" x14ac:dyDescent="0.2">
      <c r="A47" s="198"/>
      <c r="B47" s="105"/>
      <c r="C47" s="130"/>
      <c r="D47" s="130"/>
      <c r="E47" s="130"/>
      <c r="F47" s="130"/>
      <c r="G47" s="130"/>
      <c r="H47" s="130"/>
      <c r="I47" s="130"/>
      <c r="J47" s="106"/>
      <c r="K47" s="106"/>
      <c r="L47" s="106"/>
      <c r="M47" s="106"/>
      <c r="N47" s="130"/>
      <c r="O47" s="130"/>
      <c r="P47" s="105"/>
      <c r="Q47" s="106"/>
      <c r="R47" s="105"/>
      <c r="S47" s="202" t="str">
        <f t="shared" ca="1" si="1"/>
        <v/>
      </c>
      <c r="T47" s="106"/>
      <c r="U47" s="177"/>
    </row>
    <row r="48" spans="1:21" x14ac:dyDescent="0.2">
      <c r="A48" s="198"/>
      <c r="B48" s="105"/>
      <c r="C48" s="130"/>
      <c r="D48" s="130"/>
      <c r="E48" s="130"/>
      <c r="F48" s="130"/>
      <c r="G48" s="130"/>
      <c r="H48" s="130"/>
      <c r="I48" s="130"/>
      <c r="J48" s="106"/>
      <c r="K48" s="106"/>
      <c r="L48" s="106"/>
      <c r="M48" s="106"/>
      <c r="N48" s="130"/>
      <c r="O48" s="130"/>
      <c r="P48" s="105"/>
      <c r="Q48" s="106"/>
      <c r="R48" s="105"/>
      <c r="S48" s="202" t="str">
        <f t="shared" ca="1" si="1"/>
        <v/>
      </c>
      <c r="T48" s="106"/>
      <c r="U48" s="177"/>
    </row>
    <row r="49" spans="1:21" x14ac:dyDescent="0.2">
      <c r="A49" s="198"/>
      <c r="B49" s="105"/>
      <c r="C49" s="130"/>
      <c r="D49" s="130"/>
      <c r="E49" s="130"/>
      <c r="F49" s="130"/>
      <c r="G49" s="130"/>
      <c r="H49" s="130"/>
      <c r="I49" s="130"/>
      <c r="J49" s="106"/>
      <c r="K49" s="106"/>
      <c r="L49" s="106"/>
      <c r="M49" s="106"/>
      <c r="N49" s="130"/>
      <c r="O49" s="130"/>
      <c r="P49" s="105"/>
      <c r="Q49" s="106"/>
      <c r="R49" s="105"/>
      <c r="S49" s="202" t="str">
        <f t="shared" ca="1" si="1"/>
        <v/>
      </c>
      <c r="T49" s="106"/>
      <c r="U49" s="177"/>
    </row>
    <row r="50" spans="1:21" x14ac:dyDescent="0.2">
      <c r="A50" s="198"/>
      <c r="B50" s="105"/>
      <c r="C50" s="130"/>
      <c r="D50" s="130"/>
      <c r="E50" s="130"/>
      <c r="F50" s="130"/>
      <c r="G50" s="130"/>
      <c r="H50" s="130"/>
      <c r="I50" s="130"/>
      <c r="J50" s="106"/>
      <c r="K50" s="106"/>
      <c r="L50" s="106"/>
      <c r="M50" s="106"/>
      <c r="N50" s="130"/>
      <c r="O50" s="130"/>
      <c r="P50" s="105"/>
      <c r="Q50" s="106"/>
      <c r="R50" s="105"/>
      <c r="S50" s="202" t="str">
        <f t="shared" ca="1" si="1"/>
        <v/>
      </c>
      <c r="T50" s="106"/>
      <c r="U50" s="177"/>
    </row>
    <row r="51" spans="1:21" x14ac:dyDescent="0.2">
      <c r="A51" s="198"/>
      <c r="B51" s="105"/>
      <c r="C51" s="130"/>
      <c r="D51" s="130"/>
      <c r="E51" s="130"/>
      <c r="F51" s="130"/>
      <c r="G51" s="130"/>
      <c r="H51" s="130"/>
      <c r="I51" s="130"/>
      <c r="J51" s="106"/>
      <c r="K51" s="106"/>
      <c r="L51" s="106"/>
      <c r="M51" s="106"/>
      <c r="N51" s="130"/>
      <c r="O51" s="130"/>
      <c r="P51" s="105"/>
      <c r="Q51" s="106"/>
      <c r="R51" s="105"/>
      <c r="S51" s="202" t="str">
        <f t="shared" ca="1" si="1"/>
        <v/>
      </c>
      <c r="T51" s="106"/>
      <c r="U51" s="177"/>
    </row>
    <row r="52" spans="1:21" x14ac:dyDescent="0.2">
      <c r="A52" s="198"/>
      <c r="B52" s="105"/>
      <c r="C52" s="130"/>
      <c r="D52" s="130"/>
      <c r="E52" s="130"/>
      <c r="F52" s="130"/>
      <c r="G52" s="130"/>
      <c r="H52" s="130"/>
      <c r="I52" s="130"/>
      <c r="J52" s="106"/>
      <c r="K52" s="106"/>
      <c r="L52" s="106"/>
      <c r="M52" s="106"/>
      <c r="N52" s="130"/>
      <c r="O52" s="130"/>
      <c r="P52" s="105"/>
      <c r="Q52" s="106"/>
      <c r="R52" s="105"/>
      <c r="S52" s="202" t="str">
        <f t="shared" ca="1" si="1"/>
        <v/>
      </c>
      <c r="T52" s="106"/>
      <c r="U52" s="177"/>
    </row>
    <row r="53" spans="1:21" x14ac:dyDescent="0.2">
      <c r="A53" s="198"/>
      <c r="B53" s="105"/>
      <c r="C53" s="130"/>
      <c r="D53" s="130"/>
      <c r="E53" s="130"/>
      <c r="F53" s="130"/>
      <c r="G53" s="130"/>
      <c r="H53" s="130"/>
      <c r="I53" s="130"/>
      <c r="J53" s="106"/>
      <c r="K53" s="106"/>
      <c r="L53" s="106"/>
      <c r="M53" s="106"/>
      <c r="N53" s="130"/>
      <c r="O53" s="130"/>
      <c r="P53" s="105"/>
      <c r="Q53" s="106"/>
      <c r="R53" s="105"/>
      <c r="S53" s="202" t="str">
        <f t="shared" ca="1" si="1"/>
        <v/>
      </c>
      <c r="T53" s="106"/>
      <c r="U53" s="177"/>
    </row>
    <row r="54" spans="1:21" x14ac:dyDescent="0.2">
      <c r="A54" s="198"/>
      <c r="B54" s="105"/>
      <c r="C54" s="130"/>
      <c r="D54" s="130"/>
      <c r="E54" s="130"/>
      <c r="F54" s="130"/>
      <c r="G54" s="130"/>
      <c r="H54" s="130"/>
      <c r="I54" s="130"/>
      <c r="J54" s="106"/>
      <c r="K54" s="106"/>
      <c r="L54" s="106"/>
      <c r="M54" s="106"/>
      <c r="N54" s="130"/>
      <c r="O54" s="130"/>
      <c r="P54" s="105"/>
      <c r="Q54" s="106"/>
      <c r="R54" s="105"/>
      <c r="S54" s="202" t="str">
        <f t="shared" ca="1" si="1"/>
        <v/>
      </c>
      <c r="T54" s="106"/>
      <c r="U54" s="177"/>
    </row>
    <row r="55" spans="1:21" x14ac:dyDescent="0.2">
      <c r="A55" s="198"/>
      <c r="B55" s="105"/>
      <c r="C55" s="130"/>
      <c r="D55" s="130"/>
      <c r="E55" s="130"/>
      <c r="F55" s="130"/>
      <c r="G55" s="130"/>
      <c r="H55" s="130"/>
      <c r="I55" s="130"/>
      <c r="J55" s="106"/>
      <c r="K55" s="106"/>
      <c r="L55" s="106"/>
      <c r="M55" s="106"/>
      <c r="N55" s="130"/>
      <c r="O55" s="130"/>
      <c r="P55" s="105"/>
      <c r="Q55" s="106"/>
      <c r="R55" s="105"/>
      <c r="S55" s="202" t="str">
        <f t="shared" ca="1" si="1"/>
        <v/>
      </c>
      <c r="T55" s="106"/>
      <c r="U55" s="177"/>
    </row>
    <row r="56" spans="1:21" x14ac:dyDescent="0.2">
      <c r="A56" s="198"/>
      <c r="B56" s="105"/>
      <c r="C56" s="130"/>
      <c r="D56" s="130"/>
      <c r="E56" s="130"/>
      <c r="F56" s="130"/>
      <c r="G56" s="130"/>
      <c r="H56" s="130"/>
      <c r="I56" s="130"/>
      <c r="J56" s="106"/>
      <c r="K56" s="106"/>
      <c r="L56" s="106"/>
      <c r="M56" s="106"/>
      <c r="N56" s="130"/>
      <c r="O56" s="130"/>
      <c r="P56" s="105"/>
      <c r="Q56" s="106"/>
      <c r="R56" s="105"/>
      <c r="S56" s="202" t="str">
        <f t="shared" ca="1" si="1"/>
        <v/>
      </c>
      <c r="T56" s="106"/>
      <c r="U56" s="177"/>
    </row>
    <row r="57" spans="1:21" x14ac:dyDescent="0.2">
      <c r="A57" s="198"/>
      <c r="B57" s="105"/>
      <c r="C57" s="130"/>
      <c r="D57" s="130"/>
      <c r="E57" s="130"/>
      <c r="F57" s="130"/>
      <c r="G57" s="130"/>
      <c r="H57" s="130"/>
      <c r="I57" s="130"/>
      <c r="J57" s="106"/>
      <c r="K57" s="106"/>
      <c r="L57" s="106"/>
      <c r="M57" s="106"/>
      <c r="N57" s="130"/>
      <c r="O57" s="130"/>
      <c r="P57" s="105"/>
      <c r="Q57" s="106"/>
      <c r="R57" s="105"/>
      <c r="S57" s="202" t="str">
        <f t="shared" ca="1" si="1"/>
        <v/>
      </c>
      <c r="T57" s="106"/>
      <c r="U57" s="177"/>
    </row>
    <row r="58" spans="1:21" x14ac:dyDescent="0.2">
      <c r="A58" s="198"/>
      <c r="B58" s="105"/>
      <c r="C58" s="130"/>
      <c r="D58" s="130"/>
      <c r="E58" s="130"/>
      <c r="F58" s="130"/>
      <c r="G58" s="130"/>
      <c r="H58" s="130"/>
      <c r="I58" s="130"/>
      <c r="J58" s="106"/>
      <c r="K58" s="106"/>
      <c r="L58" s="106"/>
      <c r="M58" s="106"/>
      <c r="N58" s="130"/>
      <c r="O58" s="130"/>
      <c r="P58" s="105"/>
      <c r="Q58" s="106"/>
      <c r="R58" s="105"/>
      <c r="S58" s="202" t="str">
        <f t="shared" ca="1" si="1"/>
        <v/>
      </c>
      <c r="T58" s="106"/>
      <c r="U58" s="177"/>
    </row>
    <row r="59" spans="1:21" x14ac:dyDescent="0.2">
      <c r="A59" s="198"/>
      <c r="B59" s="105"/>
      <c r="C59" s="130"/>
      <c r="D59" s="130"/>
      <c r="E59" s="130"/>
      <c r="F59" s="130"/>
      <c r="G59" s="130"/>
      <c r="H59" s="130"/>
      <c r="I59" s="130"/>
      <c r="J59" s="106"/>
      <c r="K59" s="106"/>
      <c r="L59" s="106"/>
      <c r="M59" s="106"/>
      <c r="N59" s="130"/>
      <c r="O59" s="130"/>
      <c r="P59" s="105"/>
      <c r="Q59" s="106"/>
      <c r="R59" s="105"/>
      <c r="S59" s="202" t="str">
        <f t="shared" ca="1" si="1"/>
        <v/>
      </c>
      <c r="T59" s="106"/>
      <c r="U59" s="177"/>
    </row>
    <row r="60" spans="1:21" x14ac:dyDescent="0.2">
      <c r="A60" s="199"/>
      <c r="B60" s="108"/>
      <c r="C60" s="132"/>
      <c r="D60" s="132"/>
      <c r="E60" s="132"/>
      <c r="F60" s="132"/>
      <c r="G60" s="132"/>
      <c r="H60" s="132"/>
      <c r="I60" s="132"/>
      <c r="J60" s="109"/>
      <c r="K60" s="109"/>
      <c r="L60" s="109"/>
      <c r="M60" s="109"/>
      <c r="N60" s="132"/>
      <c r="O60" s="132"/>
      <c r="P60" s="108"/>
      <c r="Q60" s="109"/>
      <c r="R60" s="108"/>
      <c r="S60" s="203" t="str">
        <f t="shared" ca="1" si="1"/>
        <v/>
      </c>
      <c r="T60" s="109"/>
      <c r="U60" s="200"/>
    </row>
  </sheetData>
  <mergeCells count="2">
    <mergeCell ref="A1:U1"/>
    <mergeCell ref="A2:U2"/>
  </mergeCells>
  <conditionalFormatting sqref="K7:L60">
    <cfRule type="containsText" dxfId="88" priority="4" operator="containsText" text="No">
      <formula>NOT(ISERROR(SEARCH("No",K7)))</formula>
    </cfRule>
  </conditionalFormatting>
  <conditionalFormatting sqref="S7:S60">
    <cfRule type="cellIs" dxfId="87" priority="6" operator="greaterThan">
      <formula>5</formula>
    </cfRule>
  </conditionalFormatting>
  <conditionalFormatting sqref="T7:T60">
    <cfRule type="containsText" dxfId="86" priority="1" operator="containsText" text="Closed">
      <formula>NOT(ISERROR(SEARCH("Closed",T7)))</formula>
    </cfRule>
    <cfRule type="containsText" dxfId="85" priority="2" operator="containsText" text="Open">
      <formula>NOT(ISERROR(SEARCH("Open",T7)))</formula>
    </cfRule>
    <cfRule type="containsText" dxfId="84" priority="3" operator="containsText" text="In Progress">
      <formula>NOT(ISERROR(SEARCH("In Progress",T7)))</formula>
    </cfRule>
  </conditionalFormatting>
  <dataValidations count="6">
    <dataValidation type="list" allowBlank="1" showInputMessage="1" showErrorMessage="1" sqref="C7:C60" xr:uid="{E97EE279-975E-C343-B004-DE4B53E61FE9}">
      <formula1>"COR,NCR,WIP"</formula1>
    </dataValidation>
    <dataValidation type="list" allowBlank="1" showInputMessage="1" showErrorMessage="1" sqref="J7:J60 L7:L60" xr:uid="{89989005-9F24-8041-8135-FCB76CB39D04}">
      <formula1>"Yes,No"</formula1>
    </dataValidation>
    <dataValidation type="list" allowBlank="1" showInputMessage="1" showErrorMessage="1" sqref="K7:K60" xr:uid="{8177E734-5FB3-1443-85C2-C16710F8D881}">
      <formula1>"Yes,No,N/A"</formula1>
    </dataValidation>
    <dataValidation type="list" allowBlank="1" showInputMessage="1" showErrorMessage="1" sqref="M7:M60" xr:uid="{457BFECD-3977-FE41-ADB4-07DCE7B27E18}">
      <formula1>"Design / Document Error,Coordination Failure,Submittal Not Approved,Material Non-Conforming,Workmanship,Supervision / Planning,Sequencing,Damage by Others,Schedule Pressure,Training / Competency,Missed Hold Point,Missed First Work Review"</formula1>
    </dataValidation>
    <dataValidation type="list" allowBlank="1" showInputMessage="1" showErrorMessage="1" sqref="O7:O60" xr:uid="{CABE0CDF-7E07-C648-B149-4218D671C4E7}">
      <formula1>"Replace,Repair,Rework,Accepted As-Is (Owner approval)"</formula1>
    </dataValidation>
    <dataValidation type="list" allowBlank="1" showInputMessage="1" showErrorMessage="1" sqref="T7:T60" xr:uid="{7275BB68-1B13-1149-91FD-B8D8C0D83AEB}">
      <formula1>"Open,In Progress,Awaiting A/E,Verified,Closed"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D188-853C-AF45-A03A-797D8121B2ED}">
  <dimension ref="A1:Q80"/>
  <sheetViews>
    <sheetView workbookViewId="0">
      <pane ySplit="6" topLeftCell="A7" activePane="bottomLeft" state="frozen"/>
      <selection pane="bottomLeft" sqref="A1:Q1"/>
    </sheetView>
  </sheetViews>
  <sheetFormatPr baseColWidth="10" defaultColWidth="11" defaultRowHeight="16" x14ac:dyDescent="0.2"/>
  <cols>
    <col min="1" max="1" width="10" style="3" customWidth="1"/>
    <col min="2" max="2" width="13.6640625" style="3" customWidth="1"/>
    <col min="3" max="3" width="16.6640625" style="3" customWidth="1"/>
    <col min="4" max="4" width="21.6640625" style="3" customWidth="1"/>
    <col min="5" max="5" width="25" style="3" customWidth="1"/>
    <col min="6" max="6" width="53.33203125" style="3" customWidth="1"/>
    <col min="7" max="7" width="18.33203125" style="3" customWidth="1"/>
    <col min="8" max="8" width="16.6640625" style="3" customWidth="1"/>
    <col min="9" max="9" width="21.6640625" style="3" customWidth="1"/>
    <col min="10" max="10" width="14.6640625" style="3" customWidth="1"/>
    <col min="11" max="11" width="15.33203125" style="3" customWidth="1"/>
    <col min="12" max="12" width="14.6640625" style="3" customWidth="1"/>
    <col min="13" max="13" width="18.33203125" style="3" customWidth="1"/>
    <col min="14" max="14" width="10.33203125" style="3" customWidth="1"/>
    <col min="15" max="15" width="13.6640625" style="3" customWidth="1"/>
    <col min="16" max="16" width="14.6640625" style="3" customWidth="1"/>
    <col min="17" max="17" width="28.33203125" style="3" customWidth="1"/>
  </cols>
  <sheetData>
    <row r="1" spans="1:17" ht="26" customHeight="1" x14ac:dyDescent="0.2">
      <c r="A1" s="249" t="s">
        <v>2044</v>
      </c>
      <c r="B1" s="249"/>
      <c r="C1" s="249"/>
      <c r="D1" s="249"/>
      <c r="E1" s="249"/>
      <c r="F1" s="249"/>
      <c r="G1" s="249"/>
      <c r="H1" s="249"/>
      <c r="I1" s="249"/>
      <c r="J1" s="249"/>
      <c r="K1" s="249"/>
      <c r="L1" s="249"/>
      <c r="M1" s="249"/>
      <c r="N1" s="249"/>
      <c r="O1" s="249"/>
      <c r="P1" s="249"/>
      <c r="Q1" s="249"/>
    </row>
    <row r="2" spans="1:17" ht="40" customHeight="1" x14ac:dyDescent="0.2">
      <c r="A2" s="257" t="s">
        <v>2045</v>
      </c>
      <c r="B2" s="257"/>
      <c r="C2" s="257"/>
      <c r="D2" s="257"/>
      <c r="E2" s="257"/>
      <c r="F2" s="257"/>
      <c r="G2" s="257"/>
      <c r="H2" s="257"/>
      <c r="I2" s="257"/>
      <c r="J2" s="257"/>
      <c r="K2" s="257"/>
      <c r="L2" s="257"/>
      <c r="M2" s="257"/>
      <c r="N2" s="257"/>
      <c r="O2" s="257"/>
      <c r="P2" s="257"/>
      <c r="Q2" s="257"/>
    </row>
    <row r="3" spans="1:17" x14ac:dyDescent="0.2">
      <c r="A3" s="4"/>
      <c r="B3" s="4"/>
      <c r="C3" s="4"/>
      <c r="D3" s="4"/>
      <c r="E3" s="4"/>
      <c r="F3" s="4"/>
      <c r="G3" s="4"/>
      <c r="H3" s="4"/>
      <c r="I3" s="4"/>
      <c r="J3" s="4"/>
      <c r="K3" s="4"/>
      <c r="L3" s="4"/>
      <c r="M3" s="4"/>
      <c r="N3" s="4"/>
      <c r="O3" s="4"/>
      <c r="P3" s="4"/>
      <c r="Q3" s="4"/>
    </row>
    <row r="4" spans="1:17" ht="22" customHeight="1" x14ac:dyDescent="0.2">
      <c r="A4" s="110" t="s">
        <v>964</v>
      </c>
      <c r="B4" s="126">
        <f>COUNTA($A$7:$A$80)</f>
        <v>0</v>
      </c>
      <c r="C4" s="110" t="s">
        <v>1437</v>
      </c>
      <c r="D4" s="126">
        <f>COUNTIF($P$7:$P$80,"Open")+COUNTIF($P$7:$P$80,"In Progress")</f>
        <v>0</v>
      </c>
      <c r="E4" s="110" t="s">
        <v>2027</v>
      </c>
      <c r="F4" s="126">
        <f>COUNTIF($P$7:$P$80,"Closed")</f>
        <v>0</v>
      </c>
      <c r="G4" s="110" t="s">
        <v>2046</v>
      </c>
      <c r="H4" s="110"/>
      <c r="I4" s="126" cm="1">
        <f t="array" ref="I4">SUMPRODUCT(($H$7:$H$80="Yes")*($P$7:$P$80&lt;&gt;"Closed")*($A$7:$A$80&lt;&gt;""))</f>
        <v>0</v>
      </c>
      <c r="J4" s="110" t="s">
        <v>2047</v>
      </c>
      <c r="K4" s="110"/>
      <c r="L4" s="126">
        <f ca="1">COUNTIF($N$7:$N$80,"&gt;7")</f>
        <v>0</v>
      </c>
      <c r="M4" s="110" t="s">
        <v>2048</v>
      </c>
      <c r="N4" s="127">
        <f>IF($B$4=0,0,$F$4/$B$4)</f>
        <v>0</v>
      </c>
      <c r="O4" s="4"/>
      <c r="P4" s="4"/>
      <c r="Q4" s="4"/>
    </row>
    <row r="5" spans="1:17" x14ac:dyDescent="0.2">
      <c r="A5" s="4"/>
      <c r="B5" s="4"/>
      <c r="C5" s="4"/>
      <c r="D5" s="4"/>
      <c r="E5" s="4"/>
      <c r="F5" s="4"/>
      <c r="G5" s="4"/>
      <c r="H5" s="4"/>
      <c r="I5" s="4"/>
      <c r="J5" s="4"/>
      <c r="K5" s="4"/>
      <c r="L5" s="4"/>
      <c r="M5" s="4"/>
      <c r="N5" s="4"/>
      <c r="O5" s="4"/>
      <c r="P5" s="4"/>
      <c r="Q5" s="4"/>
    </row>
    <row r="6" spans="1:17" ht="46" customHeight="1" x14ac:dyDescent="0.2">
      <c r="A6" s="48" t="s">
        <v>2049</v>
      </c>
      <c r="B6" s="48" t="s">
        <v>2031</v>
      </c>
      <c r="C6" s="48" t="s">
        <v>2050</v>
      </c>
      <c r="D6" s="48" t="s">
        <v>2051</v>
      </c>
      <c r="E6" s="48" t="s">
        <v>2033</v>
      </c>
      <c r="F6" s="48" t="s">
        <v>2052</v>
      </c>
      <c r="G6" s="48" t="s">
        <v>2053</v>
      </c>
      <c r="H6" s="48" t="s">
        <v>2054</v>
      </c>
      <c r="I6" s="48" t="s">
        <v>2055</v>
      </c>
      <c r="J6" s="48" t="s">
        <v>2056</v>
      </c>
      <c r="K6" s="48" t="s">
        <v>2057</v>
      </c>
      <c r="L6" s="48" t="s">
        <v>2058</v>
      </c>
      <c r="M6" s="48" t="s">
        <v>972</v>
      </c>
      <c r="N6" s="48" t="s">
        <v>2043</v>
      </c>
      <c r="O6" s="48" t="s">
        <v>1432</v>
      </c>
      <c r="P6" s="48" t="s">
        <v>448</v>
      </c>
      <c r="Q6" s="48" t="s">
        <v>299</v>
      </c>
    </row>
    <row r="7" spans="1:17" x14ac:dyDescent="0.2">
      <c r="A7" s="196"/>
      <c r="B7" s="116"/>
      <c r="C7" s="128"/>
      <c r="D7" s="128"/>
      <c r="E7" s="128"/>
      <c r="F7" s="128"/>
      <c r="G7" s="117"/>
      <c r="H7" s="117"/>
      <c r="I7" s="117"/>
      <c r="J7" s="204" t="str">
        <f t="shared" ref="J7:J38" si="0">IF($B7="","",WORKDAY($B7,2))</f>
        <v/>
      </c>
      <c r="K7" s="204" t="str">
        <f t="shared" ref="K7:K38" si="1">IF($B7="","",IF($H7="Yes",$B7+2,WORKDAY($B7,5)))</f>
        <v/>
      </c>
      <c r="L7" s="116"/>
      <c r="M7" s="117"/>
      <c r="N7" s="201" t="str">
        <f t="shared" ref="N7:N38" ca="1" si="2">IF($B7="","",IF($O7&lt;&gt;"",$O7-$B7,TODAY()-$B7))</f>
        <v/>
      </c>
      <c r="O7" s="116"/>
      <c r="P7" s="117"/>
      <c r="Q7" s="197"/>
    </row>
    <row r="8" spans="1:17" x14ac:dyDescent="0.2">
      <c r="A8" s="198"/>
      <c r="B8" s="105"/>
      <c r="C8" s="130"/>
      <c r="D8" s="130"/>
      <c r="E8" s="130"/>
      <c r="F8" s="130"/>
      <c r="G8" s="106"/>
      <c r="H8" s="106"/>
      <c r="I8" s="106"/>
      <c r="J8" s="205" t="str">
        <f t="shared" si="0"/>
        <v/>
      </c>
      <c r="K8" s="205" t="str">
        <f t="shared" si="1"/>
        <v/>
      </c>
      <c r="L8" s="105"/>
      <c r="M8" s="106"/>
      <c r="N8" s="202" t="str">
        <f t="shared" ca="1" si="2"/>
        <v/>
      </c>
      <c r="O8" s="105"/>
      <c r="P8" s="106"/>
      <c r="Q8" s="177"/>
    </row>
    <row r="9" spans="1:17" x14ac:dyDescent="0.2">
      <c r="A9" s="198"/>
      <c r="B9" s="105"/>
      <c r="C9" s="130"/>
      <c r="D9" s="130"/>
      <c r="E9" s="130"/>
      <c r="F9" s="130"/>
      <c r="G9" s="106"/>
      <c r="H9" s="106"/>
      <c r="I9" s="106"/>
      <c r="J9" s="205" t="str">
        <f t="shared" si="0"/>
        <v/>
      </c>
      <c r="K9" s="205" t="str">
        <f t="shared" si="1"/>
        <v/>
      </c>
      <c r="L9" s="105"/>
      <c r="M9" s="106"/>
      <c r="N9" s="202" t="str">
        <f t="shared" ca="1" si="2"/>
        <v/>
      </c>
      <c r="O9" s="105"/>
      <c r="P9" s="106"/>
      <c r="Q9" s="177"/>
    </row>
    <row r="10" spans="1:17" x14ac:dyDescent="0.2">
      <c r="A10" s="198"/>
      <c r="B10" s="105"/>
      <c r="C10" s="130"/>
      <c r="D10" s="130"/>
      <c r="E10" s="130"/>
      <c r="F10" s="130"/>
      <c r="G10" s="106"/>
      <c r="H10" s="106"/>
      <c r="I10" s="106"/>
      <c r="J10" s="205" t="str">
        <f t="shared" si="0"/>
        <v/>
      </c>
      <c r="K10" s="205" t="str">
        <f t="shared" si="1"/>
        <v/>
      </c>
      <c r="L10" s="105"/>
      <c r="M10" s="106"/>
      <c r="N10" s="202" t="str">
        <f t="shared" ca="1" si="2"/>
        <v/>
      </c>
      <c r="O10" s="105"/>
      <c r="P10" s="106"/>
      <c r="Q10" s="177"/>
    </row>
    <row r="11" spans="1:17" x14ac:dyDescent="0.2">
      <c r="A11" s="198"/>
      <c r="B11" s="105"/>
      <c r="C11" s="130"/>
      <c r="D11" s="130"/>
      <c r="E11" s="130"/>
      <c r="F11" s="130"/>
      <c r="G11" s="106"/>
      <c r="H11" s="106"/>
      <c r="I11" s="106"/>
      <c r="J11" s="205" t="str">
        <f t="shared" si="0"/>
        <v/>
      </c>
      <c r="K11" s="205" t="str">
        <f t="shared" si="1"/>
        <v/>
      </c>
      <c r="L11" s="105"/>
      <c r="M11" s="106"/>
      <c r="N11" s="202" t="str">
        <f t="shared" ca="1" si="2"/>
        <v/>
      </c>
      <c r="O11" s="105"/>
      <c r="P11" s="106"/>
      <c r="Q11" s="177"/>
    </row>
    <row r="12" spans="1:17" x14ac:dyDescent="0.2">
      <c r="A12" s="198"/>
      <c r="B12" s="105"/>
      <c r="C12" s="130"/>
      <c r="D12" s="130"/>
      <c r="E12" s="130"/>
      <c r="F12" s="130"/>
      <c r="G12" s="106"/>
      <c r="H12" s="106"/>
      <c r="I12" s="106"/>
      <c r="J12" s="205" t="str">
        <f t="shared" si="0"/>
        <v/>
      </c>
      <c r="K12" s="205" t="str">
        <f t="shared" si="1"/>
        <v/>
      </c>
      <c r="L12" s="105"/>
      <c r="M12" s="106"/>
      <c r="N12" s="202" t="str">
        <f t="shared" ca="1" si="2"/>
        <v/>
      </c>
      <c r="O12" s="105"/>
      <c r="P12" s="106"/>
      <c r="Q12" s="177"/>
    </row>
    <row r="13" spans="1:17" x14ac:dyDescent="0.2">
      <c r="A13" s="198"/>
      <c r="B13" s="105"/>
      <c r="C13" s="130"/>
      <c r="D13" s="130"/>
      <c r="E13" s="130"/>
      <c r="F13" s="130"/>
      <c r="G13" s="106"/>
      <c r="H13" s="106"/>
      <c r="I13" s="106"/>
      <c r="J13" s="205" t="str">
        <f t="shared" si="0"/>
        <v/>
      </c>
      <c r="K13" s="205" t="str">
        <f t="shared" si="1"/>
        <v/>
      </c>
      <c r="L13" s="105"/>
      <c r="M13" s="106"/>
      <c r="N13" s="202" t="str">
        <f t="shared" ca="1" si="2"/>
        <v/>
      </c>
      <c r="O13" s="105"/>
      <c r="P13" s="106"/>
      <c r="Q13" s="177"/>
    </row>
    <row r="14" spans="1:17" x14ac:dyDescent="0.2">
      <c r="A14" s="198"/>
      <c r="B14" s="105"/>
      <c r="C14" s="130"/>
      <c r="D14" s="130"/>
      <c r="E14" s="130"/>
      <c r="F14" s="130"/>
      <c r="G14" s="106"/>
      <c r="H14" s="106"/>
      <c r="I14" s="106"/>
      <c r="J14" s="205" t="str">
        <f t="shared" si="0"/>
        <v/>
      </c>
      <c r="K14" s="205" t="str">
        <f t="shared" si="1"/>
        <v/>
      </c>
      <c r="L14" s="105"/>
      <c r="M14" s="106"/>
      <c r="N14" s="202" t="str">
        <f t="shared" ca="1" si="2"/>
        <v/>
      </c>
      <c r="O14" s="105"/>
      <c r="P14" s="106"/>
      <c r="Q14" s="177"/>
    </row>
    <row r="15" spans="1:17" x14ac:dyDescent="0.2">
      <c r="A15" s="198"/>
      <c r="B15" s="105"/>
      <c r="C15" s="130"/>
      <c r="D15" s="130"/>
      <c r="E15" s="130"/>
      <c r="F15" s="130"/>
      <c r="G15" s="106"/>
      <c r="H15" s="106"/>
      <c r="I15" s="106"/>
      <c r="J15" s="205" t="str">
        <f t="shared" si="0"/>
        <v/>
      </c>
      <c r="K15" s="205" t="str">
        <f t="shared" si="1"/>
        <v/>
      </c>
      <c r="L15" s="105"/>
      <c r="M15" s="106"/>
      <c r="N15" s="202" t="str">
        <f t="shared" ca="1" si="2"/>
        <v/>
      </c>
      <c r="O15" s="105"/>
      <c r="P15" s="106"/>
      <c r="Q15" s="177"/>
    </row>
    <row r="16" spans="1:17" x14ac:dyDescent="0.2">
      <c r="A16" s="198"/>
      <c r="B16" s="105"/>
      <c r="C16" s="130"/>
      <c r="D16" s="130"/>
      <c r="E16" s="130"/>
      <c r="F16" s="130"/>
      <c r="G16" s="106"/>
      <c r="H16" s="106"/>
      <c r="I16" s="106"/>
      <c r="J16" s="205" t="str">
        <f t="shared" si="0"/>
        <v/>
      </c>
      <c r="K16" s="205" t="str">
        <f t="shared" si="1"/>
        <v/>
      </c>
      <c r="L16" s="105"/>
      <c r="M16" s="106"/>
      <c r="N16" s="202" t="str">
        <f t="shared" ca="1" si="2"/>
        <v/>
      </c>
      <c r="O16" s="105"/>
      <c r="P16" s="106"/>
      <c r="Q16" s="177"/>
    </row>
    <row r="17" spans="1:17" x14ac:dyDescent="0.2">
      <c r="A17" s="198"/>
      <c r="B17" s="105"/>
      <c r="C17" s="130"/>
      <c r="D17" s="130"/>
      <c r="E17" s="130"/>
      <c r="F17" s="130"/>
      <c r="G17" s="106"/>
      <c r="H17" s="106"/>
      <c r="I17" s="106"/>
      <c r="J17" s="205" t="str">
        <f t="shared" si="0"/>
        <v/>
      </c>
      <c r="K17" s="205" t="str">
        <f t="shared" si="1"/>
        <v/>
      </c>
      <c r="L17" s="105"/>
      <c r="M17" s="106"/>
      <c r="N17" s="202" t="str">
        <f t="shared" ca="1" si="2"/>
        <v/>
      </c>
      <c r="O17" s="105"/>
      <c r="P17" s="106"/>
      <c r="Q17" s="177"/>
    </row>
    <row r="18" spans="1:17" x14ac:dyDescent="0.2">
      <c r="A18" s="198"/>
      <c r="B18" s="105"/>
      <c r="C18" s="130"/>
      <c r="D18" s="130"/>
      <c r="E18" s="130"/>
      <c r="F18" s="130"/>
      <c r="G18" s="106"/>
      <c r="H18" s="106"/>
      <c r="I18" s="106"/>
      <c r="J18" s="205" t="str">
        <f t="shared" si="0"/>
        <v/>
      </c>
      <c r="K18" s="205" t="str">
        <f t="shared" si="1"/>
        <v/>
      </c>
      <c r="L18" s="105"/>
      <c r="M18" s="106"/>
      <c r="N18" s="202" t="str">
        <f t="shared" ca="1" si="2"/>
        <v/>
      </c>
      <c r="O18" s="105"/>
      <c r="P18" s="106"/>
      <c r="Q18" s="177"/>
    </row>
    <row r="19" spans="1:17" x14ac:dyDescent="0.2">
      <c r="A19" s="198"/>
      <c r="B19" s="105"/>
      <c r="C19" s="130"/>
      <c r="D19" s="130"/>
      <c r="E19" s="130"/>
      <c r="F19" s="130"/>
      <c r="G19" s="106"/>
      <c r="H19" s="106"/>
      <c r="I19" s="106"/>
      <c r="J19" s="205" t="str">
        <f t="shared" si="0"/>
        <v/>
      </c>
      <c r="K19" s="205" t="str">
        <f t="shared" si="1"/>
        <v/>
      </c>
      <c r="L19" s="105"/>
      <c r="M19" s="106"/>
      <c r="N19" s="202" t="str">
        <f t="shared" ca="1" si="2"/>
        <v/>
      </c>
      <c r="O19" s="105"/>
      <c r="P19" s="106"/>
      <c r="Q19" s="177"/>
    </row>
    <row r="20" spans="1:17" x14ac:dyDescent="0.2">
      <c r="A20" s="198"/>
      <c r="B20" s="105"/>
      <c r="C20" s="130"/>
      <c r="D20" s="130"/>
      <c r="E20" s="130"/>
      <c r="F20" s="130"/>
      <c r="G20" s="106"/>
      <c r="H20" s="106"/>
      <c r="I20" s="106"/>
      <c r="J20" s="205" t="str">
        <f t="shared" si="0"/>
        <v/>
      </c>
      <c r="K20" s="205" t="str">
        <f t="shared" si="1"/>
        <v/>
      </c>
      <c r="L20" s="105"/>
      <c r="M20" s="106"/>
      <c r="N20" s="202" t="str">
        <f t="shared" ca="1" si="2"/>
        <v/>
      </c>
      <c r="O20" s="105"/>
      <c r="P20" s="106"/>
      <c r="Q20" s="177"/>
    </row>
    <row r="21" spans="1:17" x14ac:dyDescent="0.2">
      <c r="A21" s="198"/>
      <c r="B21" s="105"/>
      <c r="C21" s="130"/>
      <c r="D21" s="130"/>
      <c r="E21" s="130"/>
      <c r="F21" s="130"/>
      <c r="G21" s="106"/>
      <c r="H21" s="106"/>
      <c r="I21" s="106"/>
      <c r="J21" s="205" t="str">
        <f t="shared" si="0"/>
        <v/>
      </c>
      <c r="K21" s="205" t="str">
        <f t="shared" si="1"/>
        <v/>
      </c>
      <c r="L21" s="105"/>
      <c r="M21" s="106"/>
      <c r="N21" s="202" t="str">
        <f t="shared" ca="1" si="2"/>
        <v/>
      </c>
      <c r="O21" s="105"/>
      <c r="P21" s="106"/>
      <c r="Q21" s="177"/>
    </row>
    <row r="22" spans="1:17" x14ac:dyDescent="0.2">
      <c r="A22" s="198"/>
      <c r="B22" s="105"/>
      <c r="C22" s="130"/>
      <c r="D22" s="130"/>
      <c r="E22" s="130"/>
      <c r="F22" s="130"/>
      <c r="G22" s="106"/>
      <c r="H22" s="106"/>
      <c r="I22" s="106"/>
      <c r="J22" s="205" t="str">
        <f t="shared" si="0"/>
        <v/>
      </c>
      <c r="K22" s="205" t="str">
        <f t="shared" si="1"/>
        <v/>
      </c>
      <c r="L22" s="105"/>
      <c r="M22" s="106"/>
      <c r="N22" s="202" t="str">
        <f t="shared" ca="1" si="2"/>
        <v/>
      </c>
      <c r="O22" s="105"/>
      <c r="P22" s="106"/>
      <c r="Q22" s="177"/>
    </row>
    <row r="23" spans="1:17" x14ac:dyDescent="0.2">
      <c r="A23" s="198"/>
      <c r="B23" s="105"/>
      <c r="C23" s="130"/>
      <c r="D23" s="130"/>
      <c r="E23" s="130"/>
      <c r="F23" s="130"/>
      <c r="G23" s="106"/>
      <c r="H23" s="106"/>
      <c r="I23" s="106"/>
      <c r="J23" s="205" t="str">
        <f t="shared" si="0"/>
        <v/>
      </c>
      <c r="K23" s="205" t="str">
        <f t="shared" si="1"/>
        <v/>
      </c>
      <c r="L23" s="105"/>
      <c r="M23" s="106"/>
      <c r="N23" s="202" t="str">
        <f t="shared" ca="1" si="2"/>
        <v/>
      </c>
      <c r="O23" s="105"/>
      <c r="P23" s="106"/>
      <c r="Q23" s="177"/>
    </row>
    <row r="24" spans="1:17" x14ac:dyDescent="0.2">
      <c r="A24" s="198"/>
      <c r="B24" s="105"/>
      <c r="C24" s="130"/>
      <c r="D24" s="130"/>
      <c r="E24" s="130"/>
      <c r="F24" s="130"/>
      <c r="G24" s="106"/>
      <c r="H24" s="106"/>
      <c r="I24" s="106"/>
      <c r="J24" s="205" t="str">
        <f t="shared" si="0"/>
        <v/>
      </c>
      <c r="K24" s="205" t="str">
        <f t="shared" si="1"/>
        <v/>
      </c>
      <c r="L24" s="105"/>
      <c r="M24" s="106"/>
      <c r="N24" s="202" t="str">
        <f t="shared" ca="1" si="2"/>
        <v/>
      </c>
      <c r="O24" s="105"/>
      <c r="P24" s="106"/>
      <c r="Q24" s="177"/>
    </row>
    <row r="25" spans="1:17" x14ac:dyDescent="0.2">
      <c r="A25" s="198"/>
      <c r="B25" s="105"/>
      <c r="C25" s="130"/>
      <c r="D25" s="130"/>
      <c r="E25" s="130"/>
      <c r="F25" s="130"/>
      <c r="G25" s="106"/>
      <c r="H25" s="106"/>
      <c r="I25" s="106"/>
      <c r="J25" s="205" t="str">
        <f t="shared" si="0"/>
        <v/>
      </c>
      <c r="K25" s="205" t="str">
        <f t="shared" si="1"/>
        <v/>
      </c>
      <c r="L25" s="105"/>
      <c r="M25" s="106"/>
      <c r="N25" s="202" t="str">
        <f t="shared" ca="1" si="2"/>
        <v/>
      </c>
      <c r="O25" s="105"/>
      <c r="P25" s="106"/>
      <c r="Q25" s="177"/>
    </row>
    <row r="26" spans="1:17" x14ac:dyDescent="0.2">
      <c r="A26" s="198"/>
      <c r="B26" s="105"/>
      <c r="C26" s="130"/>
      <c r="D26" s="130"/>
      <c r="E26" s="130"/>
      <c r="F26" s="130"/>
      <c r="G26" s="106"/>
      <c r="H26" s="106"/>
      <c r="I26" s="106"/>
      <c r="J26" s="205" t="str">
        <f t="shared" si="0"/>
        <v/>
      </c>
      <c r="K26" s="205" t="str">
        <f t="shared" si="1"/>
        <v/>
      </c>
      <c r="L26" s="105"/>
      <c r="M26" s="106"/>
      <c r="N26" s="202" t="str">
        <f t="shared" ca="1" si="2"/>
        <v/>
      </c>
      <c r="O26" s="105"/>
      <c r="P26" s="106"/>
      <c r="Q26" s="177"/>
    </row>
    <row r="27" spans="1:17" x14ac:dyDescent="0.2">
      <c r="A27" s="198"/>
      <c r="B27" s="105"/>
      <c r="C27" s="130"/>
      <c r="D27" s="130"/>
      <c r="E27" s="130"/>
      <c r="F27" s="130"/>
      <c r="G27" s="106"/>
      <c r="H27" s="106"/>
      <c r="I27" s="106"/>
      <c r="J27" s="205" t="str">
        <f t="shared" si="0"/>
        <v/>
      </c>
      <c r="K27" s="205" t="str">
        <f t="shared" si="1"/>
        <v/>
      </c>
      <c r="L27" s="105"/>
      <c r="M27" s="106"/>
      <c r="N27" s="202" t="str">
        <f t="shared" ca="1" si="2"/>
        <v/>
      </c>
      <c r="O27" s="105"/>
      <c r="P27" s="106"/>
      <c r="Q27" s="177"/>
    </row>
    <row r="28" spans="1:17" x14ac:dyDescent="0.2">
      <c r="A28" s="198"/>
      <c r="B28" s="105"/>
      <c r="C28" s="130"/>
      <c r="D28" s="130"/>
      <c r="E28" s="130"/>
      <c r="F28" s="130"/>
      <c r="G28" s="106"/>
      <c r="H28" s="106"/>
      <c r="I28" s="106"/>
      <c r="J28" s="205" t="str">
        <f t="shared" si="0"/>
        <v/>
      </c>
      <c r="K28" s="205" t="str">
        <f t="shared" si="1"/>
        <v/>
      </c>
      <c r="L28" s="105"/>
      <c r="M28" s="106"/>
      <c r="N28" s="202" t="str">
        <f t="shared" ca="1" si="2"/>
        <v/>
      </c>
      <c r="O28" s="105"/>
      <c r="P28" s="106"/>
      <c r="Q28" s="177"/>
    </row>
    <row r="29" spans="1:17" x14ac:dyDescent="0.2">
      <c r="A29" s="198"/>
      <c r="B29" s="105"/>
      <c r="C29" s="130"/>
      <c r="D29" s="130"/>
      <c r="E29" s="130"/>
      <c r="F29" s="130"/>
      <c r="G29" s="106"/>
      <c r="H29" s="106"/>
      <c r="I29" s="106"/>
      <c r="J29" s="205" t="str">
        <f t="shared" si="0"/>
        <v/>
      </c>
      <c r="K29" s="205" t="str">
        <f t="shared" si="1"/>
        <v/>
      </c>
      <c r="L29" s="105"/>
      <c r="M29" s="106"/>
      <c r="N29" s="202" t="str">
        <f t="shared" ca="1" si="2"/>
        <v/>
      </c>
      <c r="O29" s="105"/>
      <c r="P29" s="106"/>
      <c r="Q29" s="177"/>
    </row>
    <row r="30" spans="1:17" x14ac:dyDescent="0.2">
      <c r="A30" s="198"/>
      <c r="B30" s="105"/>
      <c r="C30" s="130"/>
      <c r="D30" s="130"/>
      <c r="E30" s="130"/>
      <c r="F30" s="130"/>
      <c r="G30" s="106"/>
      <c r="H30" s="106"/>
      <c r="I30" s="106"/>
      <c r="J30" s="205" t="str">
        <f t="shared" si="0"/>
        <v/>
      </c>
      <c r="K30" s="205" t="str">
        <f t="shared" si="1"/>
        <v/>
      </c>
      <c r="L30" s="105"/>
      <c r="M30" s="106"/>
      <c r="N30" s="202" t="str">
        <f t="shared" ca="1" si="2"/>
        <v/>
      </c>
      <c r="O30" s="105"/>
      <c r="P30" s="106"/>
      <c r="Q30" s="177"/>
    </row>
    <row r="31" spans="1:17" x14ac:dyDescent="0.2">
      <c r="A31" s="198"/>
      <c r="B31" s="105"/>
      <c r="C31" s="130"/>
      <c r="D31" s="130"/>
      <c r="E31" s="130"/>
      <c r="F31" s="130"/>
      <c r="G31" s="106"/>
      <c r="H31" s="106"/>
      <c r="I31" s="106"/>
      <c r="J31" s="205" t="str">
        <f t="shared" si="0"/>
        <v/>
      </c>
      <c r="K31" s="205" t="str">
        <f t="shared" si="1"/>
        <v/>
      </c>
      <c r="L31" s="105"/>
      <c r="M31" s="106"/>
      <c r="N31" s="202" t="str">
        <f t="shared" ca="1" si="2"/>
        <v/>
      </c>
      <c r="O31" s="105"/>
      <c r="P31" s="106"/>
      <c r="Q31" s="177"/>
    </row>
    <row r="32" spans="1:17" x14ac:dyDescent="0.2">
      <c r="A32" s="198"/>
      <c r="B32" s="105"/>
      <c r="C32" s="130"/>
      <c r="D32" s="130"/>
      <c r="E32" s="130"/>
      <c r="F32" s="130"/>
      <c r="G32" s="106"/>
      <c r="H32" s="106"/>
      <c r="I32" s="106"/>
      <c r="J32" s="205" t="str">
        <f t="shared" si="0"/>
        <v/>
      </c>
      <c r="K32" s="205" t="str">
        <f t="shared" si="1"/>
        <v/>
      </c>
      <c r="L32" s="105"/>
      <c r="M32" s="106"/>
      <c r="N32" s="202" t="str">
        <f t="shared" ca="1" si="2"/>
        <v/>
      </c>
      <c r="O32" s="105"/>
      <c r="P32" s="106"/>
      <c r="Q32" s="177"/>
    </row>
    <row r="33" spans="1:17" x14ac:dyDescent="0.2">
      <c r="A33" s="198"/>
      <c r="B33" s="105"/>
      <c r="C33" s="130"/>
      <c r="D33" s="130"/>
      <c r="E33" s="130"/>
      <c r="F33" s="130"/>
      <c r="G33" s="106"/>
      <c r="H33" s="106"/>
      <c r="I33" s="106"/>
      <c r="J33" s="205" t="str">
        <f t="shared" si="0"/>
        <v/>
      </c>
      <c r="K33" s="205" t="str">
        <f t="shared" si="1"/>
        <v/>
      </c>
      <c r="L33" s="105"/>
      <c r="M33" s="106"/>
      <c r="N33" s="202" t="str">
        <f t="shared" ca="1" si="2"/>
        <v/>
      </c>
      <c r="O33" s="105"/>
      <c r="P33" s="106"/>
      <c r="Q33" s="177"/>
    </row>
    <row r="34" spans="1:17" x14ac:dyDescent="0.2">
      <c r="A34" s="198"/>
      <c r="B34" s="105"/>
      <c r="C34" s="130"/>
      <c r="D34" s="130"/>
      <c r="E34" s="130"/>
      <c r="F34" s="130"/>
      <c r="G34" s="106"/>
      <c r="H34" s="106"/>
      <c r="I34" s="106"/>
      <c r="J34" s="205" t="str">
        <f t="shared" si="0"/>
        <v/>
      </c>
      <c r="K34" s="205" t="str">
        <f t="shared" si="1"/>
        <v/>
      </c>
      <c r="L34" s="105"/>
      <c r="M34" s="106"/>
      <c r="N34" s="202" t="str">
        <f t="shared" ca="1" si="2"/>
        <v/>
      </c>
      <c r="O34" s="105"/>
      <c r="P34" s="106"/>
      <c r="Q34" s="177"/>
    </row>
    <row r="35" spans="1:17" x14ac:dyDescent="0.2">
      <c r="A35" s="198"/>
      <c r="B35" s="105"/>
      <c r="C35" s="130"/>
      <c r="D35" s="130"/>
      <c r="E35" s="130"/>
      <c r="F35" s="130"/>
      <c r="G35" s="106"/>
      <c r="H35" s="106"/>
      <c r="I35" s="106"/>
      <c r="J35" s="205" t="str">
        <f t="shared" si="0"/>
        <v/>
      </c>
      <c r="K35" s="205" t="str">
        <f t="shared" si="1"/>
        <v/>
      </c>
      <c r="L35" s="105"/>
      <c r="M35" s="106"/>
      <c r="N35" s="202" t="str">
        <f t="shared" ca="1" si="2"/>
        <v/>
      </c>
      <c r="O35" s="105"/>
      <c r="P35" s="106"/>
      <c r="Q35" s="177"/>
    </row>
    <row r="36" spans="1:17" x14ac:dyDescent="0.2">
      <c r="A36" s="198"/>
      <c r="B36" s="105"/>
      <c r="C36" s="130"/>
      <c r="D36" s="130"/>
      <c r="E36" s="130"/>
      <c r="F36" s="130"/>
      <c r="G36" s="106"/>
      <c r="H36" s="106"/>
      <c r="I36" s="106"/>
      <c r="J36" s="205" t="str">
        <f t="shared" si="0"/>
        <v/>
      </c>
      <c r="K36" s="205" t="str">
        <f t="shared" si="1"/>
        <v/>
      </c>
      <c r="L36" s="105"/>
      <c r="M36" s="106"/>
      <c r="N36" s="202" t="str">
        <f t="shared" ca="1" si="2"/>
        <v/>
      </c>
      <c r="O36" s="105"/>
      <c r="P36" s="106"/>
      <c r="Q36" s="177"/>
    </row>
    <row r="37" spans="1:17" x14ac:dyDescent="0.2">
      <c r="A37" s="198"/>
      <c r="B37" s="105"/>
      <c r="C37" s="130"/>
      <c r="D37" s="130"/>
      <c r="E37" s="130"/>
      <c r="F37" s="130"/>
      <c r="G37" s="106"/>
      <c r="H37" s="106"/>
      <c r="I37" s="106"/>
      <c r="J37" s="205" t="str">
        <f t="shared" si="0"/>
        <v/>
      </c>
      <c r="K37" s="205" t="str">
        <f t="shared" si="1"/>
        <v/>
      </c>
      <c r="L37" s="105"/>
      <c r="M37" s="106"/>
      <c r="N37" s="202" t="str">
        <f t="shared" ca="1" si="2"/>
        <v/>
      </c>
      <c r="O37" s="105"/>
      <c r="P37" s="106"/>
      <c r="Q37" s="177"/>
    </row>
    <row r="38" spans="1:17" x14ac:dyDescent="0.2">
      <c r="A38" s="198"/>
      <c r="B38" s="105"/>
      <c r="C38" s="130"/>
      <c r="D38" s="130"/>
      <c r="E38" s="130"/>
      <c r="F38" s="130"/>
      <c r="G38" s="106"/>
      <c r="H38" s="106"/>
      <c r="I38" s="106"/>
      <c r="J38" s="205" t="str">
        <f t="shared" si="0"/>
        <v/>
      </c>
      <c r="K38" s="205" t="str">
        <f t="shared" si="1"/>
        <v/>
      </c>
      <c r="L38" s="105"/>
      <c r="M38" s="106"/>
      <c r="N38" s="202" t="str">
        <f t="shared" ca="1" si="2"/>
        <v/>
      </c>
      <c r="O38" s="105"/>
      <c r="P38" s="106"/>
      <c r="Q38" s="177"/>
    </row>
    <row r="39" spans="1:17" x14ac:dyDescent="0.2">
      <c r="A39" s="198"/>
      <c r="B39" s="105"/>
      <c r="C39" s="130"/>
      <c r="D39" s="130"/>
      <c r="E39" s="130"/>
      <c r="F39" s="130"/>
      <c r="G39" s="106"/>
      <c r="H39" s="106"/>
      <c r="I39" s="106"/>
      <c r="J39" s="205" t="str">
        <f t="shared" ref="J39:J70" si="3">IF($B39="","",WORKDAY($B39,2))</f>
        <v/>
      </c>
      <c r="K39" s="205" t="str">
        <f t="shared" ref="K39:K70" si="4">IF($B39="","",IF($H39="Yes",$B39+2,WORKDAY($B39,5)))</f>
        <v/>
      </c>
      <c r="L39" s="105"/>
      <c r="M39" s="106"/>
      <c r="N39" s="202" t="str">
        <f t="shared" ref="N39:N70" ca="1" si="5">IF($B39="","",IF($O39&lt;&gt;"",$O39-$B39,TODAY()-$B39))</f>
        <v/>
      </c>
      <c r="O39" s="105"/>
      <c r="P39" s="106"/>
      <c r="Q39" s="177"/>
    </row>
    <row r="40" spans="1:17" x14ac:dyDescent="0.2">
      <c r="A40" s="198"/>
      <c r="B40" s="105"/>
      <c r="C40" s="130"/>
      <c r="D40" s="130"/>
      <c r="E40" s="130"/>
      <c r="F40" s="130"/>
      <c r="G40" s="106"/>
      <c r="H40" s="106"/>
      <c r="I40" s="106"/>
      <c r="J40" s="205" t="str">
        <f t="shared" si="3"/>
        <v/>
      </c>
      <c r="K40" s="205" t="str">
        <f t="shared" si="4"/>
        <v/>
      </c>
      <c r="L40" s="105"/>
      <c r="M40" s="106"/>
      <c r="N40" s="202" t="str">
        <f t="shared" ca="1" si="5"/>
        <v/>
      </c>
      <c r="O40" s="105"/>
      <c r="P40" s="106"/>
      <c r="Q40" s="177"/>
    </row>
    <row r="41" spans="1:17" x14ac:dyDescent="0.2">
      <c r="A41" s="198"/>
      <c r="B41" s="105"/>
      <c r="C41" s="130"/>
      <c r="D41" s="130"/>
      <c r="E41" s="130"/>
      <c r="F41" s="130"/>
      <c r="G41" s="106"/>
      <c r="H41" s="106"/>
      <c r="I41" s="106"/>
      <c r="J41" s="205" t="str">
        <f t="shared" si="3"/>
        <v/>
      </c>
      <c r="K41" s="205" t="str">
        <f t="shared" si="4"/>
        <v/>
      </c>
      <c r="L41" s="105"/>
      <c r="M41" s="106"/>
      <c r="N41" s="202" t="str">
        <f t="shared" ca="1" si="5"/>
        <v/>
      </c>
      <c r="O41" s="105"/>
      <c r="P41" s="106"/>
      <c r="Q41" s="177"/>
    </row>
    <row r="42" spans="1:17" x14ac:dyDescent="0.2">
      <c r="A42" s="198"/>
      <c r="B42" s="105"/>
      <c r="C42" s="130"/>
      <c r="D42" s="130"/>
      <c r="E42" s="130"/>
      <c r="F42" s="130"/>
      <c r="G42" s="106"/>
      <c r="H42" s="106"/>
      <c r="I42" s="106"/>
      <c r="J42" s="205" t="str">
        <f t="shared" si="3"/>
        <v/>
      </c>
      <c r="K42" s="205" t="str">
        <f t="shared" si="4"/>
        <v/>
      </c>
      <c r="L42" s="105"/>
      <c r="M42" s="106"/>
      <c r="N42" s="202" t="str">
        <f t="shared" ca="1" si="5"/>
        <v/>
      </c>
      <c r="O42" s="105"/>
      <c r="P42" s="106"/>
      <c r="Q42" s="177"/>
    </row>
    <row r="43" spans="1:17" x14ac:dyDescent="0.2">
      <c r="A43" s="198"/>
      <c r="B43" s="105"/>
      <c r="C43" s="130"/>
      <c r="D43" s="130"/>
      <c r="E43" s="130"/>
      <c r="F43" s="130"/>
      <c r="G43" s="106"/>
      <c r="H43" s="106"/>
      <c r="I43" s="106"/>
      <c r="J43" s="205" t="str">
        <f t="shared" si="3"/>
        <v/>
      </c>
      <c r="K43" s="205" t="str">
        <f t="shared" si="4"/>
        <v/>
      </c>
      <c r="L43" s="105"/>
      <c r="M43" s="106"/>
      <c r="N43" s="202" t="str">
        <f t="shared" ca="1" si="5"/>
        <v/>
      </c>
      <c r="O43" s="105"/>
      <c r="P43" s="106"/>
      <c r="Q43" s="177"/>
    </row>
    <row r="44" spans="1:17" x14ac:dyDescent="0.2">
      <c r="A44" s="198"/>
      <c r="B44" s="105"/>
      <c r="C44" s="130"/>
      <c r="D44" s="130"/>
      <c r="E44" s="130"/>
      <c r="F44" s="130"/>
      <c r="G44" s="106"/>
      <c r="H44" s="106"/>
      <c r="I44" s="106"/>
      <c r="J44" s="205" t="str">
        <f t="shared" si="3"/>
        <v/>
      </c>
      <c r="K44" s="205" t="str">
        <f t="shared" si="4"/>
        <v/>
      </c>
      <c r="L44" s="105"/>
      <c r="M44" s="106"/>
      <c r="N44" s="202" t="str">
        <f t="shared" ca="1" si="5"/>
        <v/>
      </c>
      <c r="O44" s="105"/>
      <c r="P44" s="106"/>
      <c r="Q44" s="177"/>
    </row>
    <row r="45" spans="1:17" x14ac:dyDescent="0.2">
      <c r="A45" s="198"/>
      <c r="B45" s="105"/>
      <c r="C45" s="130"/>
      <c r="D45" s="130"/>
      <c r="E45" s="130"/>
      <c r="F45" s="130"/>
      <c r="G45" s="106"/>
      <c r="H45" s="106"/>
      <c r="I45" s="106"/>
      <c r="J45" s="205" t="str">
        <f t="shared" si="3"/>
        <v/>
      </c>
      <c r="K45" s="205" t="str">
        <f t="shared" si="4"/>
        <v/>
      </c>
      <c r="L45" s="105"/>
      <c r="M45" s="106"/>
      <c r="N45" s="202" t="str">
        <f t="shared" ca="1" si="5"/>
        <v/>
      </c>
      <c r="O45" s="105"/>
      <c r="P45" s="106"/>
      <c r="Q45" s="177"/>
    </row>
    <row r="46" spans="1:17" x14ac:dyDescent="0.2">
      <c r="A46" s="198"/>
      <c r="B46" s="105"/>
      <c r="C46" s="130"/>
      <c r="D46" s="130"/>
      <c r="E46" s="130"/>
      <c r="F46" s="130"/>
      <c r="G46" s="106"/>
      <c r="H46" s="106"/>
      <c r="I46" s="106"/>
      <c r="J46" s="205" t="str">
        <f t="shared" si="3"/>
        <v/>
      </c>
      <c r="K46" s="205" t="str">
        <f t="shared" si="4"/>
        <v/>
      </c>
      <c r="L46" s="105"/>
      <c r="M46" s="106"/>
      <c r="N46" s="202" t="str">
        <f t="shared" ca="1" si="5"/>
        <v/>
      </c>
      <c r="O46" s="105"/>
      <c r="P46" s="106"/>
      <c r="Q46" s="177"/>
    </row>
    <row r="47" spans="1:17" x14ac:dyDescent="0.2">
      <c r="A47" s="198"/>
      <c r="B47" s="105"/>
      <c r="C47" s="130"/>
      <c r="D47" s="130"/>
      <c r="E47" s="130"/>
      <c r="F47" s="130"/>
      <c r="G47" s="106"/>
      <c r="H47" s="106"/>
      <c r="I47" s="106"/>
      <c r="J47" s="205" t="str">
        <f t="shared" si="3"/>
        <v/>
      </c>
      <c r="K47" s="205" t="str">
        <f t="shared" si="4"/>
        <v/>
      </c>
      <c r="L47" s="105"/>
      <c r="M47" s="106"/>
      <c r="N47" s="202" t="str">
        <f t="shared" ca="1" si="5"/>
        <v/>
      </c>
      <c r="O47" s="105"/>
      <c r="P47" s="106"/>
      <c r="Q47" s="177"/>
    </row>
    <row r="48" spans="1:17" x14ac:dyDescent="0.2">
      <c r="A48" s="198"/>
      <c r="B48" s="105"/>
      <c r="C48" s="130"/>
      <c r="D48" s="130"/>
      <c r="E48" s="130"/>
      <c r="F48" s="130"/>
      <c r="G48" s="106"/>
      <c r="H48" s="106"/>
      <c r="I48" s="106"/>
      <c r="J48" s="205" t="str">
        <f t="shared" si="3"/>
        <v/>
      </c>
      <c r="K48" s="205" t="str">
        <f t="shared" si="4"/>
        <v/>
      </c>
      <c r="L48" s="105"/>
      <c r="M48" s="106"/>
      <c r="N48" s="202" t="str">
        <f t="shared" ca="1" si="5"/>
        <v/>
      </c>
      <c r="O48" s="105"/>
      <c r="P48" s="106"/>
      <c r="Q48" s="177"/>
    </row>
    <row r="49" spans="1:17" x14ac:dyDescent="0.2">
      <c r="A49" s="198"/>
      <c r="B49" s="105"/>
      <c r="C49" s="130"/>
      <c r="D49" s="130"/>
      <c r="E49" s="130"/>
      <c r="F49" s="130"/>
      <c r="G49" s="106"/>
      <c r="H49" s="106"/>
      <c r="I49" s="106"/>
      <c r="J49" s="205" t="str">
        <f t="shared" si="3"/>
        <v/>
      </c>
      <c r="K49" s="205" t="str">
        <f t="shared" si="4"/>
        <v/>
      </c>
      <c r="L49" s="105"/>
      <c r="M49" s="106"/>
      <c r="N49" s="202" t="str">
        <f t="shared" ca="1" si="5"/>
        <v/>
      </c>
      <c r="O49" s="105"/>
      <c r="P49" s="106"/>
      <c r="Q49" s="177"/>
    </row>
    <row r="50" spans="1:17" x14ac:dyDescent="0.2">
      <c r="A50" s="198"/>
      <c r="B50" s="105"/>
      <c r="C50" s="130"/>
      <c r="D50" s="130"/>
      <c r="E50" s="130"/>
      <c r="F50" s="130"/>
      <c r="G50" s="106"/>
      <c r="H50" s="106"/>
      <c r="I50" s="106"/>
      <c r="J50" s="205" t="str">
        <f t="shared" si="3"/>
        <v/>
      </c>
      <c r="K50" s="205" t="str">
        <f t="shared" si="4"/>
        <v/>
      </c>
      <c r="L50" s="105"/>
      <c r="M50" s="106"/>
      <c r="N50" s="202" t="str">
        <f t="shared" ca="1" si="5"/>
        <v/>
      </c>
      <c r="O50" s="105"/>
      <c r="P50" s="106"/>
      <c r="Q50" s="177"/>
    </row>
    <row r="51" spans="1:17" x14ac:dyDescent="0.2">
      <c r="A51" s="198"/>
      <c r="B51" s="105"/>
      <c r="C51" s="130"/>
      <c r="D51" s="130"/>
      <c r="E51" s="130"/>
      <c r="F51" s="130"/>
      <c r="G51" s="106"/>
      <c r="H51" s="106"/>
      <c r="I51" s="106"/>
      <c r="J51" s="205" t="str">
        <f t="shared" si="3"/>
        <v/>
      </c>
      <c r="K51" s="205" t="str">
        <f t="shared" si="4"/>
        <v/>
      </c>
      <c r="L51" s="105"/>
      <c r="M51" s="106"/>
      <c r="N51" s="202" t="str">
        <f t="shared" ca="1" si="5"/>
        <v/>
      </c>
      <c r="O51" s="105"/>
      <c r="P51" s="106"/>
      <c r="Q51" s="177"/>
    </row>
    <row r="52" spans="1:17" x14ac:dyDescent="0.2">
      <c r="A52" s="198"/>
      <c r="B52" s="105"/>
      <c r="C52" s="130"/>
      <c r="D52" s="130"/>
      <c r="E52" s="130"/>
      <c r="F52" s="130"/>
      <c r="G52" s="106"/>
      <c r="H52" s="106"/>
      <c r="I52" s="106"/>
      <c r="J52" s="205" t="str">
        <f t="shared" si="3"/>
        <v/>
      </c>
      <c r="K52" s="205" t="str">
        <f t="shared" si="4"/>
        <v/>
      </c>
      <c r="L52" s="105"/>
      <c r="M52" s="106"/>
      <c r="N52" s="202" t="str">
        <f t="shared" ca="1" si="5"/>
        <v/>
      </c>
      <c r="O52" s="105"/>
      <c r="P52" s="106"/>
      <c r="Q52" s="177"/>
    </row>
    <row r="53" spans="1:17" x14ac:dyDescent="0.2">
      <c r="A53" s="198"/>
      <c r="B53" s="105"/>
      <c r="C53" s="130"/>
      <c r="D53" s="130"/>
      <c r="E53" s="130"/>
      <c r="F53" s="130"/>
      <c r="G53" s="106"/>
      <c r="H53" s="106"/>
      <c r="I53" s="106"/>
      <c r="J53" s="205" t="str">
        <f t="shared" si="3"/>
        <v/>
      </c>
      <c r="K53" s="205" t="str">
        <f t="shared" si="4"/>
        <v/>
      </c>
      <c r="L53" s="105"/>
      <c r="M53" s="106"/>
      <c r="N53" s="202" t="str">
        <f t="shared" ca="1" si="5"/>
        <v/>
      </c>
      <c r="O53" s="105"/>
      <c r="P53" s="106"/>
      <c r="Q53" s="177"/>
    </row>
    <row r="54" spans="1:17" x14ac:dyDescent="0.2">
      <c r="A54" s="198"/>
      <c r="B54" s="105"/>
      <c r="C54" s="130"/>
      <c r="D54" s="130"/>
      <c r="E54" s="130"/>
      <c r="F54" s="130"/>
      <c r="G54" s="106"/>
      <c r="H54" s="106"/>
      <c r="I54" s="106"/>
      <c r="J54" s="205" t="str">
        <f t="shared" si="3"/>
        <v/>
      </c>
      <c r="K54" s="205" t="str">
        <f t="shared" si="4"/>
        <v/>
      </c>
      <c r="L54" s="105"/>
      <c r="M54" s="106"/>
      <c r="N54" s="202" t="str">
        <f t="shared" ca="1" si="5"/>
        <v/>
      </c>
      <c r="O54" s="105"/>
      <c r="P54" s="106"/>
      <c r="Q54" s="177"/>
    </row>
    <row r="55" spans="1:17" x14ac:dyDescent="0.2">
      <c r="A55" s="198"/>
      <c r="B55" s="105"/>
      <c r="C55" s="130"/>
      <c r="D55" s="130"/>
      <c r="E55" s="130"/>
      <c r="F55" s="130"/>
      <c r="G55" s="106"/>
      <c r="H55" s="106"/>
      <c r="I55" s="106"/>
      <c r="J55" s="205" t="str">
        <f t="shared" si="3"/>
        <v/>
      </c>
      <c r="K55" s="205" t="str">
        <f t="shared" si="4"/>
        <v/>
      </c>
      <c r="L55" s="105"/>
      <c r="M55" s="106"/>
      <c r="N55" s="202" t="str">
        <f t="shared" ca="1" si="5"/>
        <v/>
      </c>
      <c r="O55" s="105"/>
      <c r="P55" s="106"/>
      <c r="Q55" s="177"/>
    </row>
    <row r="56" spans="1:17" x14ac:dyDescent="0.2">
      <c r="A56" s="198"/>
      <c r="B56" s="105"/>
      <c r="C56" s="130"/>
      <c r="D56" s="130"/>
      <c r="E56" s="130"/>
      <c r="F56" s="130"/>
      <c r="G56" s="106"/>
      <c r="H56" s="106"/>
      <c r="I56" s="106"/>
      <c r="J56" s="205" t="str">
        <f t="shared" si="3"/>
        <v/>
      </c>
      <c r="K56" s="205" t="str">
        <f t="shared" si="4"/>
        <v/>
      </c>
      <c r="L56" s="105"/>
      <c r="M56" s="106"/>
      <c r="N56" s="202" t="str">
        <f t="shared" ca="1" si="5"/>
        <v/>
      </c>
      <c r="O56" s="105"/>
      <c r="P56" s="106"/>
      <c r="Q56" s="177"/>
    </row>
    <row r="57" spans="1:17" x14ac:dyDescent="0.2">
      <c r="A57" s="198"/>
      <c r="B57" s="105"/>
      <c r="C57" s="130"/>
      <c r="D57" s="130"/>
      <c r="E57" s="130"/>
      <c r="F57" s="130"/>
      <c r="G57" s="106"/>
      <c r="H57" s="106"/>
      <c r="I57" s="106"/>
      <c r="J57" s="205" t="str">
        <f t="shared" si="3"/>
        <v/>
      </c>
      <c r="K57" s="205" t="str">
        <f t="shared" si="4"/>
        <v/>
      </c>
      <c r="L57" s="105"/>
      <c r="M57" s="106"/>
      <c r="N57" s="202" t="str">
        <f t="shared" ca="1" si="5"/>
        <v/>
      </c>
      <c r="O57" s="105"/>
      <c r="P57" s="106"/>
      <c r="Q57" s="177"/>
    </row>
    <row r="58" spans="1:17" x14ac:dyDescent="0.2">
      <c r="A58" s="198"/>
      <c r="B58" s="105"/>
      <c r="C58" s="130"/>
      <c r="D58" s="130"/>
      <c r="E58" s="130"/>
      <c r="F58" s="130"/>
      <c r="G58" s="106"/>
      <c r="H58" s="106"/>
      <c r="I58" s="106"/>
      <c r="J58" s="205" t="str">
        <f t="shared" si="3"/>
        <v/>
      </c>
      <c r="K58" s="205" t="str">
        <f t="shared" si="4"/>
        <v/>
      </c>
      <c r="L58" s="105"/>
      <c r="M58" s="106"/>
      <c r="N58" s="202" t="str">
        <f t="shared" ca="1" si="5"/>
        <v/>
      </c>
      <c r="O58" s="105"/>
      <c r="P58" s="106"/>
      <c r="Q58" s="177"/>
    </row>
    <row r="59" spans="1:17" x14ac:dyDescent="0.2">
      <c r="A59" s="198"/>
      <c r="B59" s="105"/>
      <c r="C59" s="130"/>
      <c r="D59" s="130"/>
      <c r="E59" s="130"/>
      <c r="F59" s="130"/>
      <c r="G59" s="106"/>
      <c r="H59" s="106"/>
      <c r="I59" s="106"/>
      <c r="J59" s="205" t="str">
        <f t="shared" si="3"/>
        <v/>
      </c>
      <c r="K59" s="205" t="str">
        <f t="shared" si="4"/>
        <v/>
      </c>
      <c r="L59" s="105"/>
      <c r="M59" s="106"/>
      <c r="N59" s="202" t="str">
        <f t="shared" ca="1" si="5"/>
        <v/>
      </c>
      <c r="O59" s="105"/>
      <c r="P59" s="106"/>
      <c r="Q59" s="177"/>
    </row>
    <row r="60" spans="1:17" x14ac:dyDescent="0.2">
      <c r="A60" s="198"/>
      <c r="B60" s="105"/>
      <c r="C60" s="130"/>
      <c r="D60" s="130"/>
      <c r="E60" s="130"/>
      <c r="F60" s="130"/>
      <c r="G60" s="106"/>
      <c r="H60" s="106"/>
      <c r="I60" s="106"/>
      <c r="J60" s="205" t="str">
        <f t="shared" si="3"/>
        <v/>
      </c>
      <c r="K60" s="205" t="str">
        <f t="shared" si="4"/>
        <v/>
      </c>
      <c r="L60" s="105"/>
      <c r="M60" s="106"/>
      <c r="N60" s="202" t="str">
        <f t="shared" ca="1" si="5"/>
        <v/>
      </c>
      <c r="O60" s="105"/>
      <c r="P60" s="106"/>
      <c r="Q60" s="177"/>
    </row>
    <row r="61" spans="1:17" x14ac:dyDescent="0.2">
      <c r="A61" s="198"/>
      <c r="B61" s="105"/>
      <c r="C61" s="130"/>
      <c r="D61" s="130"/>
      <c r="E61" s="130"/>
      <c r="F61" s="130"/>
      <c r="G61" s="106"/>
      <c r="H61" s="106"/>
      <c r="I61" s="106"/>
      <c r="J61" s="205" t="str">
        <f t="shared" si="3"/>
        <v/>
      </c>
      <c r="K61" s="205" t="str">
        <f t="shared" si="4"/>
        <v/>
      </c>
      <c r="L61" s="105"/>
      <c r="M61" s="106"/>
      <c r="N61" s="202" t="str">
        <f t="shared" ca="1" si="5"/>
        <v/>
      </c>
      <c r="O61" s="105"/>
      <c r="P61" s="106"/>
      <c r="Q61" s="177"/>
    </row>
    <row r="62" spans="1:17" x14ac:dyDescent="0.2">
      <c r="A62" s="198"/>
      <c r="B62" s="105"/>
      <c r="C62" s="130"/>
      <c r="D62" s="130"/>
      <c r="E62" s="130"/>
      <c r="F62" s="130"/>
      <c r="G62" s="106"/>
      <c r="H62" s="106"/>
      <c r="I62" s="106"/>
      <c r="J62" s="205" t="str">
        <f t="shared" si="3"/>
        <v/>
      </c>
      <c r="K62" s="205" t="str">
        <f t="shared" si="4"/>
        <v/>
      </c>
      <c r="L62" s="105"/>
      <c r="M62" s="106"/>
      <c r="N62" s="202" t="str">
        <f t="shared" ca="1" si="5"/>
        <v/>
      </c>
      <c r="O62" s="105"/>
      <c r="P62" s="106"/>
      <c r="Q62" s="177"/>
    </row>
    <row r="63" spans="1:17" x14ac:dyDescent="0.2">
      <c r="A63" s="198"/>
      <c r="B63" s="105"/>
      <c r="C63" s="130"/>
      <c r="D63" s="130"/>
      <c r="E63" s="130"/>
      <c r="F63" s="130"/>
      <c r="G63" s="106"/>
      <c r="H63" s="106"/>
      <c r="I63" s="106"/>
      <c r="J63" s="205" t="str">
        <f t="shared" si="3"/>
        <v/>
      </c>
      <c r="K63" s="205" t="str">
        <f t="shared" si="4"/>
        <v/>
      </c>
      <c r="L63" s="105"/>
      <c r="M63" s="106"/>
      <c r="N63" s="202" t="str">
        <f t="shared" ca="1" si="5"/>
        <v/>
      </c>
      <c r="O63" s="105"/>
      <c r="P63" s="106"/>
      <c r="Q63" s="177"/>
    </row>
    <row r="64" spans="1:17" x14ac:dyDescent="0.2">
      <c r="A64" s="198"/>
      <c r="B64" s="105"/>
      <c r="C64" s="130"/>
      <c r="D64" s="130"/>
      <c r="E64" s="130"/>
      <c r="F64" s="130"/>
      <c r="G64" s="106"/>
      <c r="H64" s="106"/>
      <c r="I64" s="106"/>
      <c r="J64" s="205" t="str">
        <f t="shared" si="3"/>
        <v/>
      </c>
      <c r="K64" s="205" t="str">
        <f t="shared" si="4"/>
        <v/>
      </c>
      <c r="L64" s="105"/>
      <c r="M64" s="106"/>
      <c r="N64" s="202" t="str">
        <f t="shared" ca="1" si="5"/>
        <v/>
      </c>
      <c r="O64" s="105"/>
      <c r="P64" s="106"/>
      <c r="Q64" s="177"/>
    </row>
    <row r="65" spans="1:17" x14ac:dyDescent="0.2">
      <c r="A65" s="198"/>
      <c r="B65" s="105"/>
      <c r="C65" s="130"/>
      <c r="D65" s="130"/>
      <c r="E65" s="130"/>
      <c r="F65" s="130"/>
      <c r="G65" s="106"/>
      <c r="H65" s="106"/>
      <c r="I65" s="106"/>
      <c r="J65" s="205" t="str">
        <f t="shared" si="3"/>
        <v/>
      </c>
      <c r="K65" s="205" t="str">
        <f t="shared" si="4"/>
        <v/>
      </c>
      <c r="L65" s="105"/>
      <c r="M65" s="106"/>
      <c r="N65" s="202" t="str">
        <f t="shared" ca="1" si="5"/>
        <v/>
      </c>
      <c r="O65" s="105"/>
      <c r="P65" s="106"/>
      <c r="Q65" s="177"/>
    </row>
    <row r="66" spans="1:17" x14ac:dyDescent="0.2">
      <c r="A66" s="198"/>
      <c r="B66" s="105"/>
      <c r="C66" s="130"/>
      <c r="D66" s="130"/>
      <c r="E66" s="130"/>
      <c r="F66" s="130"/>
      <c r="G66" s="106"/>
      <c r="H66" s="106"/>
      <c r="I66" s="106"/>
      <c r="J66" s="205" t="str">
        <f t="shared" si="3"/>
        <v/>
      </c>
      <c r="K66" s="205" t="str">
        <f t="shared" si="4"/>
        <v/>
      </c>
      <c r="L66" s="105"/>
      <c r="M66" s="106"/>
      <c r="N66" s="202" t="str">
        <f t="shared" ca="1" si="5"/>
        <v/>
      </c>
      <c r="O66" s="105"/>
      <c r="P66" s="106"/>
      <c r="Q66" s="177"/>
    </row>
    <row r="67" spans="1:17" x14ac:dyDescent="0.2">
      <c r="A67" s="198"/>
      <c r="B67" s="105"/>
      <c r="C67" s="130"/>
      <c r="D67" s="130"/>
      <c r="E67" s="130"/>
      <c r="F67" s="130"/>
      <c r="G67" s="106"/>
      <c r="H67" s="106"/>
      <c r="I67" s="106"/>
      <c r="J67" s="205" t="str">
        <f t="shared" si="3"/>
        <v/>
      </c>
      <c r="K67" s="205" t="str">
        <f t="shared" si="4"/>
        <v/>
      </c>
      <c r="L67" s="105"/>
      <c r="M67" s="106"/>
      <c r="N67" s="202" t="str">
        <f t="shared" ca="1" si="5"/>
        <v/>
      </c>
      <c r="O67" s="105"/>
      <c r="P67" s="106"/>
      <c r="Q67" s="177"/>
    </row>
    <row r="68" spans="1:17" x14ac:dyDescent="0.2">
      <c r="A68" s="198"/>
      <c r="B68" s="105"/>
      <c r="C68" s="130"/>
      <c r="D68" s="130"/>
      <c r="E68" s="130"/>
      <c r="F68" s="130"/>
      <c r="G68" s="106"/>
      <c r="H68" s="106"/>
      <c r="I68" s="106"/>
      <c r="J68" s="205" t="str">
        <f t="shared" si="3"/>
        <v/>
      </c>
      <c r="K68" s="205" t="str">
        <f t="shared" si="4"/>
        <v/>
      </c>
      <c r="L68" s="105"/>
      <c r="M68" s="106"/>
      <c r="N68" s="202" t="str">
        <f t="shared" ca="1" si="5"/>
        <v/>
      </c>
      <c r="O68" s="105"/>
      <c r="P68" s="106"/>
      <c r="Q68" s="177"/>
    </row>
    <row r="69" spans="1:17" x14ac:dyDescent="0.2">
      <c r="A69" s="198"/>
      <c r="B69" s="105"/>
      <c r="C69" s="130"/>
      <c r="D69" s="130"/>
      <c r="E69" s="130"/>
      <c r="F69" s="130"/>
      <c r="G69" s="106"/>
      <c r="H69" s="106"/>
      <c r="I69" s="106"/>
      <c r="J69" s="205" t="str">
        <f t="shared" si="3"/>
        <v/>
      </c>
      <c r="K69" s="205" t="str">
        <f t="shared" si="4"/>
        <v/>
      </c>
      <c r="L69" s="105"/>
      <c r="M69" s="106"/>
      <c r="N69" s="202" t="str">
        <f t="shared" ca="1" si="5"/>
        <v/>
      </c>
      <c r="O69" s="105"/>
      <c r="P69" s="106"/>
      <c r="Q69" s="177"/>
    </row>
    <row r="70" spans="1:17" x14ac:dyDescent="0.2">
      <c r="A70" s="198"/>
      <c r="B70" s="105"/>
      <c r="C70" s="130"/>
      <c r="D70" s="130"/>
      <c r="E70" s="130"/>
      <c r="F70" s="130"/>
      <c r="G70" s="106"/>
      <c r="H70" s="106"/>
      <c r="I70" s="106"/>
      <c r="J70" s="205" t="str">
        <f t="shared" si="3"/>
        <v/>
      </c>
      <c r="K70" s="205" t="str">
        <f t="shared" si="4"/>
        <v/>
      </c>
      <c r="L70" s="105"/>
      <c r="M70" s="106"/>
      <c r="N70" s="202" t="str">
        <f t="shared" ca="1" si="5"/>
        <v/>
      </c>
      <c r="O70" s="105"/>
      <c r="P70" s="106"/>
      <c r="Q70" s="177"/>
    </row>
    <row r="71" spans="1:17" x14ac:dyDescent="0.2">
      <c r="A71" s="198"/>
      <c r="B71" s="105"/>
      <c r="C71" s="130"/>
      <c r="D71" s="130"/>
      <c r="E71" s="130"/>
      <c r="F71" s="130"/>
      <c r="G71" s="106"/>
      <c r="H71" s="106"/>
      <c r="I71" s="106"/>
      <c r="J71" s="205" t="str">
        <f t="shared" ref="J71:J80" si="6">IF($B71="","",WORKDAY($B71,2))</f>
        <v/>
      </c>
      <c r="K71" s="205" t="str">
        <f t="shared" ref="K71:K80" si="7">IF($B71="","",IF($H71="Yes",$B71+2,WORKDAY($B71,5)))</f>
        <v/>
      </c>
      <c r="L71" s="105"/>
      <c r="M71" s="106"/>
      <c r="N71" s="202" t="str">
        <f t="shared" ref="N71:N80" ca="1" si="8">IF($B71="","",IF($O71&lt;&gt;"",$O71-$B71,TODAY()-$B71))</f>
        <v/>
      </c>
      <c r="O71" s="105"/>
      <c r="P71" s="106"/>
      <c r="Q71" s="177"/>
    </row>
    <row r="72" spans="1:17" x14ac:dyDescent="0.2">
      <c r="A72" s="198"/>
      <c r="B72" s="105"/>
      <c r="C72" s="130"/>
      <c r="D72" s="130"/>
      <c r="E72" s="130"/>
      <c r="F72" s="130"/>
      <c r="G72" s="106"/>
      <c r="H72" s="106"/>
      <c r="I72" s="106"/>
      <c r="J72" s="205" t="str">
        <f t="shared" si="6"/>
        <v/>
      </c>
      <c r="K72" s="205" t="str">
        <f t="shared" si="7"/>
        <v/>
      </c>
      <c r="L72" s="105"/>
      <c r="M72" s="106"/>
      <c r="N72" s="202" t="str">
        <f t="shared" ca="1" si="8"/>
        <v/>
      </c>
      <c r="O72" s="105"/>
      <c r="P72" s="106"/>
      <c r="Q72" s="177"/>
    </row>
    <row r="73" spans="1:17" x14ac:dyDescent="0.2">
      <c r="A73" s="198"/>
      <c r="B73" s="105"/>
      <c r="C73" s="130"/>
      <c r="D73" s="130"/>
      <c r="E73" s="130"/>
      <c r="F73" s="130"/>
      <c r="G73" s="106"/>
      <c r="H73" s="106"/>
      <c r="I73" s="106"/>
      <c r="J73" s="205" t="str">
        <f t="shared" si="6"/>
        <v/>
      </c>
      <c r="K73" s="205" t="str">
        <f t="shared" si="7"/>
        <v/>
      </c>
      <c r="L73" s="105"/>
      <c r="M73" s="106"/>
      <c r="N73" s="202" t="str">
        <f t="shared" ca="1" si="8"/>
        <v/>
      </c>
      <c r="O73" s="105"/>
      <c r="P73" s="106"/>
      <c r="Q73" s="177"/>
    </row>
    <row r="74" spans="1:17" x14ac:dyDescent="0.2">
      <c r="A74" s="198"/>
      <c r="B74" s="105"/>
      <c r="C74" s="130"/>
      <c r="D74" s="130"/>
      <c r="E74" s="130"/>
      <c r="F74" s="130"/>
      <c r="G74" s="106"/>
      <c r="H74" s="106"/>
      <c r="I74" s="106"/>
      <c r="J74" s="205" t="str">
        <f t="shared" si="6"/>
        <v/>
      </c>
      <c r="K74" s="205" t="str">
        <f t="shared" si="7"/>
        <v/>
      </c>
      <c r="L74" s="105"/>
      <c r="M74" s="106"/>
      <c r="N74" s="202" t="str">
        <f t="shared" ca="1" si="8"/>
        <v/>
      </c>
      <c r="O74" s="105"/>
      <c r="P74" s="106"/>
      <c r="Q74" s="177"/>
    </row>
    <row r="75" spans="1:17" x14ac:dyDescent="0.2">
      <c r="A75" s="198"/>
      <c r="B75" s="105"/>
      <c r="C75" s="130"/>
      <c r="D75" s="130"/>
      <c r="E75" s="130"/>
      <c r="F75" s="130"/>
      <c r="G75" s="106"/>
      <c r="H75" s="106"/>
      <c r="I75" s="106"/>
      <c r="J75" s="205" t="str">
        <f t="shared" si="6"/>
        <v/>
      </c>
      <c r="K75" s="205" t="str">
        <f t="shared" si="7"/>
        <v/>
      </c>
      <c r="L75" s="105"/>
      <c r="M75" s="106"/>
      <c r="N75" s="202" t="str">
        <f t="shared" ca="1" si="8"/>
        <v/>
      </c>
      <c r="O75" s="105"/>
      <c r="P75" s="106"/>
      <c r="Q75" s="177"/>
    </row>
    <row r="76" spans="1:17" x14ac:dyDescent="0.2">
      <c r="A76" s="198"/>
      <c r="B76" s="105"/>
      <c r="C76" s="130"/>
      <c r="D76" s="130"/>
      <c r="E76" s="130"/>
      <c r="F76" s="130"/>
      <c r="G76" s="106"/>
      <c r="H76" s="106"/>
      <c r="I76" s="106"/>
      <c r="J76" s="205" t="str">
        <f t="shared" si="6"/>
        <v/>
      </c>
      <c r="K76" s="205" t="str">
        <f t="shared" si="7"/>
        <v/>
      </c>
      <c r="L76" s="105"/>
      <c r="M76" s="106"/>
      <c r="N76" s="202" t="str">
        <f t="shared" ca="1" si="8"/>
        <v/>
      </c>
      <c r="O76" s="105"/>
      <c r="P76" s="106"/>
      <c r="Q76" s="177"/>
    </row>
    <row r="77" spans="1:17" x14ac:dyDescent="0.2">
      <c r="A77" s="198"/>
      <c r="B77" s="105"/>
      <c r="C77" s="130"/>
      <c r="D77" s="130"/>
      <c r="E77" s="130"/>
      <c r="F77" s="130"/>
      <c r="G77" s="106"/>
      <c r="H77" s="106"/>
      <c r="I77" s="106"/>
      <c r="J77" s="205" t="str">
        <f t="shared" si="6"/>
        <v/>
      </c>
      <c r="K77" s="205" t="str">
        <f t="shared" si="7"/>
        <v/>
      </c>
      <c r="L77" s="105"/>
      <c r="M77" s="106"/>
      <c r="N77" s="202" t="str">
        <f t="shared" ca="1" si="8"/>
        <v/>
      </c>
      <c r="O77" s="105"/>
      <c r="P77" s="106"/>
      <c r="Q77" s="177"/>
    </row>
    <row r="78" spans="1:17" x14ac:dyDescent="0.2">
      <c r="A78" s="198"/>
      <c r="B78" s="105"/>
      <c r="C78" s="130"/>
      <c r="D78" s="130"/>
      <c r="E78" s="130"/>
      <c r="F78" s="130"/>
      <c r="G78" s="106"/>
      <c r="H78" s="106"/>
      <c r="I78" s="106"/>
      <c r="J78" s="205" t="str">
        <f t="shared" si="6"/>
        <v/>
      </c>
      <c r="K78" s="205" t="str">
        <f t="shared" si="7"/>
        <v/>
      </c>
      <c r="L78" s="105"/>
      <c r="M78" s="106"/>
      <c r="N78" s="202" t="str">
        <f t="shared" ca="1" si="8"/>
        <v/>
      </c>
      <c r="O78" s="105"/>
      <c r="P78" s="106"/>
      <c r="Q78" s="177"/>
    </row>
    <row r="79" spans="1:17" x14ac:dyDescent="0.2">
      <c r="A79" s="198"/>
      <c r="B79" s="105"/>
      <c r="C79" s="130"/>
      <c r="D79" s="130"/>
      <c r="E79" s="130"/>
      <c r="F79" s="130"/>
      <c r="G79" s="106"/>
      <c r="H79" s="106"/>
      <c r="I79" s="106"/>
      <c r="J79" s="205" t="str">
        <f t="shared" si="6"/>
        <v/>
      </c>
      <c r="K79" s="205" t="str">
        <f t="shared" si="7"/>
        <v/>
      </c>
      <c r="L79" s="105"/>
      <c r="M79" s="106"/>
      <c r="N79" s="202" t="str">
        <f t="shared" ca="1" si="8"/>
        <v/>
      </c>
      <c r="O79" s="105"/>
      <c r="P79" s="106"/>
      <c r="Q79" s="177"/>
    </row>
    <row r="80" spans="1:17" x14ac:dyDescent="0.2">
      <c r="A80" s="199"/>
      <c r="B80" s="108"/>
      <c r="C80" s="132"/>
      <c r="D80" s="132"/>
      <c r="E80" s="132"/>
      <c r="F80" s="132"/>
      <c r="G80" s="109"/>
      <c r="H80" s="109"/>
      <c r="I80" s="109"/>
      <c r="J80" s="206" t="str">
        <f t="shared" si="6"/>
        <v/>
      </c>
      <c r="K80" s="206" t="str">
        <f t="shared" si="7"/>
        <v/>
      </c>
      <c r="L80" s="108"/>
      <c r="M80" s="109"/>
      <c r="N80" s="203" t="str">
        <f t="shared" ca="1" si="8"/>
        <v/>
      </c>
      <c r="O80" s="108"/>
      <c r="P80" s="109"/>
      <c r="Q80" s="200"/>
    </row>
  </sheetData>
  <mergeCells count="2">
    <mergeCell ref="A1:Q1"/>
    <mergeCell ref="A2:Q2"/>
  </mergeCells>
  <conditionalFormatting sqref="H7:H80">
    <cfRule type="containsText" dxfId="83" priority="4" operator="containsText" text="Yes">
      <formula>NOT(ISERROR(SEARCH("Yes",H7)))</formula>
    </cfRule>
  </conditionalFormatting>
  <conditionalFormatting sqref="N7:N80">
    <cfRule type="cellIs" dxfId="82" priority="5" operator="greaterThan">
      <formula>7</formula>
    </cfRule>
    <cfRule type="cellIs" dxfId="81" priority="6" operator="between">
      <formula>5</formula>
      <formula>7</formula>
    </cfRule>
  </conditionalFormatting>
  <conditionalFormatting sqref="P7:P80">
    <cfRule type="containsText" dxfId="80" priority="1" operator="containsText" text="Closed">
      <formula>NOT(ISERROR(SEARCH("Closed",P7)))</formula>
    </cfRule>
    <cfRule type="containsText" dxfId="79" priority="2" operator="containsText" text="Open">
      <formula>NOT(ISERROR(SEARCH("Open",P7)))</formula>
    </cfRule>
    <cfRule type="containsText" dxfId="78" priority="3" operator="containsText" text="In Progress">
      <formula>NOT(ISERROR(SEARCH("In Progress",P7)))</formula>
    </cfRule>
  </conditionalFormatting>
  <dataValidations count="4">
    <dataValidation type="list" allowBlank="1" showInputMessage="1" showErrorMessage="1" sqref="C7:C80" xr:uid="{473E965D-768B-C842-B0B7-98FE6A97183D}">
      <formula1>"A - Trade Self-Punch,B - Affect Build Review,C - Owner / A-E Walk,D - Back Punch"</formula1>
    </dataValidation>
    <dataValidation type="list" allowBlank="1" showInputMessage="1" showErrorMessage="1" sqref="G7:G80" xr:uid="{87F18574-320A-1346-9FD2-E31715B1104A}">
      <formula1>"Punch Item,Work-to-Complete (WTC),Day 2 Work"</formula1>
    </dataValidation>
    <dataValidation type="list" allowBlank="1" showInputMessage="1" showErrorMessage="1" sqref="H7:H80" xr:uid="{4A0C1C99-D7F6-9341-BF5F-86447648F808}">
      <formula1>"Yes,No"</formula1>
    </dataValidation>
    <dataValidation type="list" allowBlank="1" showInputMessage="1" showErrorMessage="1" sqref="P7:P80" xr:uid="{51162C27-40AB-9A45-A5FB-975A2C671BBD}">
      <formula1>"Open,In Progress,Corrected,Verified,Closed"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3F914-79A4-304D-9DDF-D0C8C6A7EA6B}">
  <dimension ref="A1:K30"/>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83" t="s">
        <v>2059</v>
      </c>
      <c r="B1" s="283"/>
      <c r="C1" s="283"/>
      <c r="D1" s="283"/>
      <c r="E1" s="283"/>
      <c r="F1" s="283"/>
      <c r="G1" s="283"/>
      <c r="H1" s="283"/>
      <c r="I1" s="283"/>
      <c r="J1" s="283"/>
      <c r="K1" s="283"/>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339</v>
      </c>
      <c r="H3" s="239"/>
      <c r="I3" s="217" t="s">
        <v>191</v>
      </c>
      <c r="J3" s="239" t="s">
        <v>2066</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335</v>
      </c>
      <c r="B5" s="239"/>
      <c r="C5" s="240"/>
      <c r="D5" s="240"/>
      <c r="E5" s="240"/>
      <c r="F5" s="240"/>
      <c r="G5" s="240"/>
      <c r="H5" s="240"/>
      <c r="I5" s="216"/>
      <c r="J5" s="241"/>
      <c r="K5" s="240"/>
    </row>
    <row r="6" spans="1:11" ht="20" customHeight="1" x14ac:dyDescent="0.2">
      <c r="A6" s="242" t="s">
        <v>2073</v>
      </c>
      <c r="B6" s="242"/>
      <c r="C6" s="218" t="s">
        <v>2074</v>
      </c>
      <c r="D6" s="219">
        <f>COUNTA($B$8:$B$26)</f>
        <v>19</v>
      </c>
      <c r="E6" s="218" t="s">
        <v>188</v>
      </c>
      <c r="F6" s="219">
        <f>COUNTIF($G$8:$G$26,"Pass")</f>
        <v>0</v>
      </c>
      <c r="G6" s="218" t="s">
        <v>189</v>
      </c>
      <c r="H6" s="219">
        <f>COUNTIF($G$8:$G$26,"Fail")</f>
        <v>0</v>
      </c>
      <c r="I6" s="218" t="s">
        <v>132</v>
      </c>
      <c r="J6" s="243">
        <f>IF($D$6=0,0,($F$6+COUNTIF($G$8:$G$26,"N/A"))/$D$6)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2083</v>
      </c>
      <c r="C8" s="208"/>
      <c r="D8" s="208"/>
      <c r="E8" s="208"/>
      <c r="F8" s="208"/>
      <c r="G8" s="208"/>
      <c r="H8" s="209"/>
      <c r="I8" s="208"/>
      <c r="J8" s="208"/>
      <c r="K8" s="27"/>
    </row>
    <row r="9" spans="1:11" x14ac:dyDescent="0.2">
      <c r="A9" s="210">
        <v>2</v>
      </c>
      <c r="B9" s="36" t="s">
        <v>2084</v>
      </c>
      <c r="C9" s="106"/>
      <c r="D9" s="106"/>
      <c r="E9" s="106"/>
      <c r="F9" s="106"/>
      <c r="G9" s="106"/>
      <c r="H9" s="105"/>
      <c r="I9" s="106"/>
      <c r="J9" s="106"/>
      <c r="K9" s="28"/>
    </row>
    <row r="10" spans="1:11" x14ac:dyDescent="0.2">
      <c r="A10" s="210">
        <v>3</v>
      </c>
      <c r="B10" s="36" t="s">
        <v>2085</v>
      </c>
      <c r="C10" s="106"/>
      <c r="D10" s="106"/>
      <c r="E10" s="106"/>
      <c r="F10" s="106"/>
      <c r="G10" s="106"/>
      <c r="H10" s="105"/>
      <c r="I10" s="106"/>
      <c r="J10" s="106"/>
      <c r="K10" s="28"/>
    </row>
    <row r="11" spans="1:11" x14ac:dyDescent="0.2">
      <c r="A11" s="210">
        <v>4</v>
      </c>
      <c r="B11" s="36" t="s">
        <v>2086</v>
      </c>
      <c r="C11" s="106"/>
      <c r="D11" s="106"/>
      <c r="E11" s="106"/>
      <c r="F11" s="106"/>
      <c r="G11" s="106"/>
      <c r="H11" s="105"/>
      <c r="I11" s="106"/>
      <c r="J11" s="106"/>
      <c r="K11" s="28"/>
    </row>
    <row r="12" spans="1:11" x14ac:dyDescent="0.2">
      <c r="A12" s="210">
        <v>5</v>
      </c>
      <c r="B12" s="36" t="s">
        <v>2087</v>
      </c>
      <c r="C12" s="106"/>
      <c r="D12" s="106"/>
      <c r="E12" s="106"/>
      <c r="F12" s="106"/>
      <c r="G12" s="106"/>
      <c r="H12" s="105"/>
      <c r="I12" s="106"/>
      <c r="J12" s="106"/>
      <c r="K12" s="28"/>
    </row>
    <row r="13" spans="1:11" x14ac:dyDescent="0.2">
      <c r="A13" s="210">
        <v>6</v>
      </c>
      <c r="B13" s="36" t="s">
        <v>2088</v>
      </c>
      <c r="C13" s="106"/>
      <c r="D13" s="106"/>
      <c r="E13" s="106"/>
      <c r="F13" s="106"/>
      <c r="G13" s="106"/>
      <c r="H13" s="105"/>
      <c r="I13" s="106"/>
      <c r="J13" s="106"/>
      <c r="K13" s="28"/>
    </row>
    <row r="14" spans="1:11" x14ac:dyDescent="0.2">
      <c r="A14" s="210">
        <v>7</v>
      </c>
      <c r="B14" s="36" t="s">
        <v>2089</v>
      </c>
      <c r="C14" s="106"/>
      <c r="D14" s="106"/>
      <c r="E14" s="106"/>
      <c r="F14" s="106"/>
      <c r="G14" s="106"/>
      <c r="H14" s="105"/>
      <c r="I14" s="106"/>
      <c r="J14" s="106"/>
      <c r="K14" s="28"/>
    </row>
    <row r="15" spans="1:11" x14ac:dyDescent="0.2">
      <c r="A15" s="210">
        <v>8</v>
      </c>
      <c r="B15" s="36" t="s">
        <v>2090</v>
      </c>
      <c r="C15" s="106"/>
      <c r="D15" s="106"/>
      <c r="E15" s="106"/>
      <c r="F15" s="106"/>
      <c r="G15" s="106"/>
      <c r="H15" s="105"/>
      <c r="I15" s="106"/>
      <c r="J15" s="106"/>
      <c r="K15" s="28"/>
    </row>
    <row r="16" spans="1:11" x14ac:dyDescent="0.2">
      <c r="A16" s="210">
        <v>9</v>
      </c>
      <c r="B16" s="36" t="s">
        <v>2091</v>
      </c>
      <c r="C16" s="106"/>
      <c r="D16" s="106"/>
      <c r="E16" s="106"/>
      <c r="F16" s="106"/>
      <c r="G16" s="106"/>
      <c r="H16" s="105"/>
      <c r="I16" s="106"/>
      <c r="J16" s="106"/>
      <c r="K16" s="28"/>
    </row>
    <row r="17" spans="1:11" x14ac:dyDescent="0.2">
      <c r="A17" s="210">
        <v>10</v>
      </c>
      <c r="B17" s="36" t="s">
        <v>2092</v>
      </c>
      <c r="C17" s="106"/>
      <c r="D17" s="106"/>
      <c r="E17" s="106"/>
      <c r="F17" s="106"/>
      <c r="G17" s="106"/>
      <c r="H17" s="105"/>
      <c r="I17" s="106"/>
      <c r="J17" s="106"/>
      <c r="K17" s="28"/>
    </row>
    <row r="18" spans="1:11" x14ac:dyDescent="0.2">
      <c r="A18" s="210">
        <v>11</v>
      </c>
      <c r="B18" s="36" t="s">
        <v>2093</v>
      </c>
      <c r="C18" s="106"/>
      <c r="D18" s="106"/>
      <c r="E18" s="106"/>
      <c r="F18" s="106"/>
      <c r="G18" s="106"/>
      <c r="H18" s="105"/>
      <c r="I18" s="106"/>
      <c r="J18" s="106"/>
      <c r="K18" s="28"/>
    </row>
    <row r="19" spans="1:11" x14ac:dyDescent="0.2">
      <c r="A19" s="210">
        <v>12</v>
      </c>
      <c r="B19" s="36" t="s">
        <v>2094</v>
      </c>
      <c r="C19" s="106"/>
      <c r="D19" s="106"/>
      <c r="E19" s="106"/>
      <c r="F19" s="106"/>
      <c r="G19" s="106"/>
      <c r="H19" s="105"/>
      <c r="I19" s="106"/>
      <c r="J19" s="106"/>
      <c r="K19" s="28"/>
    </row>
    <row r="20" spans="1:11" x14ac:dyDescent="0.2">
      <c r="A20" s="210">
        <v>13</v>
      </c>
      <c r="B20" s="36" t="s">
        <v>2095</v>
      </c>
      <c r="C20" s="106"/>
      <c r="D20" s="106"/>
      <c r="E20" s="106"/>
      <c r="F20" s="106"/>
      <c r="G20" s="106"/>
      <c r="H20" s="105"/>
      <c r="I20" s="106"/>
      <c r="J20" s="106"/>
      <c r="K20" s="28"/>
    </row>
    <row r="21" spans="1:11" x14ac:dyDescent="0.2">
      <c r="A21" s="210">
        <v>14</v>
      </c>
      <c r="B21" s="36" t="s">
        <v>2096</v>
      </c>
      <c r="C21" s="106"/>
      <c r="D21" s="106"/>
      <c r="E21" s="106"/>
      <c r="F21" s="106"/>
      <c r="G21" s="106"/>
      <c r="H21" s="105"/>
      <c r="I21" s="106"/>
      <c r="J21" s="106"/>
      <c r="K21" s="28"/>
    </row>
    <row r="22" spans="1:11" x14ac:dyDescent="0.2">
      <c r="A22" s="210">
        <v>15</v>
      </c>
      <c r="B22" s="36" t="s">
        <v>2097</v>
      </c>
      <c r="C22" s="106"/>
      <c r="D22" s="106"/>
      <c r="E22" s="106"/>
      <c r="F22" s="106"/>
      <c r="G22" s="106"/>
      <c r="H22" s="105"/>
      <c r="I22" s="106"/>
      <c r="J22" s="106"/>
      <c r="K22" s="28"/>
    </row>
    <row r="23" spans="1:11" x14ac:dyDescent="0.2">
      <c r="A23" s="210">
        <v>16</v>
      </c>
      <c r="B23" s="36" t="s">
        <v>2098</v>
      </c>
      <c r="C23" s="106"/>
      <c r="D23" s="106"/>
      <c r="E23" s="106"/>
      <c r="F23" s="106"/>
      <c r="G23" s="106"/>
      <c r="H23" s="105"/>
      <c r="I23" s="106"/>
      <c r="J23" s="106"/>
      <c r="K23" s="28"/>
    </row>
    <row r="24" spans="1:11" x14ac:dyDescent="0.2">
      <c r="A24" s="210">
        <v>17</v>
      </c>
      <c r="B24" s="36" t="s">
        <v>2099</v>
      </c>
      <c r="C24" s="106"/>
      <c r="D24" s="106"/>
      <c r="E24" s="106"/>
      <c r="F24" s="106"/>
      <c r="G24" s="106"/>
      <c r="H24" s="105"/>
      <c r="I24" s="106"/>
      <c r="J24" s="106"/>
      <c r="K24" s="28"/>
    </row>
    <row r="25" spans="1:11" x14ac:dyDescent="0.2">
      <c r="A25" s="210">
        <v>18</v>
      </c>
      <c r="B25" s="36" t="s">
        <v>2100</v>
      </c>
      <c r="C25" s="106"/>
      <c r="D25" s="106"/>
      <c r="E25" s="106"/>
      <c r="F25" s="106"/>
      <c r="G25" s="106"/>
      <c r="H25" s="105"/>
      <c r="I25" s="106"/>
      <c r="J25" s="106"/>
      <c r="K25" s="28"/>
    </row>
    <row r="26" spans="1:11" x14ac:dyDescent="0.2">
      <c r="A26" s="211">
        <v>19</v>
      </c>
      <c r="B26" s="212" t="s">
        <v>2101</v>
      </c>
      <c r="C26" s="213"/>
      <c r="D26" s="213"/>
      <c r="E26" s="213"/>
      <c r="F26" s="213"/>
      <c r="G26" s="213"/>
      <c r="H26" s="214"/>
      <c r="I26" s="213"/>
      <c r="J26" s="213"/>
      <c r="K26" s="215"/>
    </row>
    <row r="27" spans="1:11" x14ac:dyDescent="0.2">
      <c r="A27" s="4"/>
      <c r="B27" s="4"/>
      <c r="C27" s="4"/>
      <c r="D27" s="4"/>
      <c r="E27" s="4"/>
      <c r="F27" s="4"/>
      <c r="G27" s="4"/>
      <c r="H27" s="4"/>
      <c r="I27" s="4"/>
      <c r="J27" s="4"/>
      <c r="K27" s="4"/>
    </row>
    <row r="28" spans="1:11" ht="20" customHeight="1" x14ac:dyDescent="0.2">
      <c r="A28" s="245" t="s">
        <v>2102</v>
      </c>
      <c r="B28" s="245"/>
      <c r="C28" s="245"/>
      <c r="D28" s="245"/>
      <c r="E28" s="245"/>
      <c r="F28" s="245"/>
      <c r="G28" s="245"/>
      <c r="H28" s="245"/>
      <c r="I28" s="245"/>
      <c r="J28" s="245"/>
      <c r="K28" s="245"/>
    </row>
    <row r="29" spans="1:11" x14ac:dyDescent="0.2">
      <c r="A29" s="246" t="s">
        <v>2103</v>
      </c>
      <c r="B29" s="246"/>
      <c r="C29" s="246"/>
      <c r="D29" s="246" t="s">
        <v>2104</v>
      </c>
      <c r="E29" s="246"/>
      <c r="F29" s="246"/>
      <c r="G29" s="246" t="s">
        <v>2105</v>
      </c>
      <c r="H29" s="246"/>
      <c r="I29" s="246"/>
      <c r="J29" s="246" t="s">
        <v>973</v>
      </c>
      <c r="K29" s="246"/>
    </row>
    <row r="30" spans="1:11" ht="26" customHeight="1" x14ac:dyDescent="0.2">
      <c r="A30" s="235"/>
      <c r="B30" s="236"/>
      <c r="C30" s="236"/>
      <c r="D30" s="236"/>
      <c r="E30" s="236"/>
      <c r="F30" s="236"/>
      <c r="G30" s="236"/>
      <c r="H30" s="236"/>
      <c r="I30" s="236"/>
      <c r="J30" s="237"/>
      <c r="K30"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0:C30"/>
    <mergeCell ref="D30:F30"/>
    <mergeCell ref="G30:I30"/>
    <mergeCell ref="J30:K30"/>
    <mergeCell ref="A5:B5"/>
    <mergeCell ref="C5:D5"/>
    <mergeCell ref="E5:F5"/>
    <mergeCell ref="G5:H5"/>
    <mergeCell ref="J5:K5"/>
    <mergeCell ref="A6:B6"/>
    <mergeCell ref="J6:K6"/>
    <mergeCell ref="A28:K28"/>
    <mergeCell ref="A29:C29"/>
    <mergeCell ref="D29:F29"/>
    <mergeCell ref="G29:I29"/>
    <mergeCell ref="J29:K29"/>
  </mergeCells>
  <conditionalFormatting sqref="C8:F26">
    <cfRule type="containsText" dxfId="77" priority="3" operator="containsText" text="No">
      <formula>NOT(ISERROR(SEARCH("No",C8)))</formula>
    </cfRule>
  </conditionalFormatting>
  <conditionalFormatting sqref="G8:G26">
    <cfRule type="containsText" dxfId="76" priority="1" operator="containsText" text="Pass">
      <formula>NOT(ISERROR(SEARCH("Pass",G8)))</formula>
    </cfRule>
    <cfRule type="containsText" dxfId="75" priority="2" operator="containsText" text="Fail">
      <formula>NOT(ISERROR(SEARCH("Fail",G8)))</formula>
    </cfRule>
  </conditionalFormatting>
  <dataValidations count="3">
    <dataValidation type="list" allowBlank="1" showInputMessage="1" showErrorMessage="1" sqref="C8:C26 D8:D26 E8:E26 F8:F26" xr:uid="{CC55FBC3-4790-764C-8953-71DCC65508A9}">
      <formula1>"Yes,No,N/A"</formula1>
    </dataValidation>
    <dataValidation type="list" allowBlank="1" showInputMessage="1" showErrorMessage="1" sqref="G8:G26" xr:uid="{9EFAC76E-B870-EA42-B723-68B18F999CFA}">
      <formula1>"Pass,Fail,N/A"</formula1>
    </dataValidation>
    <dataValidation type="list" allowBlank="1" showInputMessage="1" showErrorMessage="1" sqref="G5" xr:uid="{429DE020-EA4A-A84B-AE25-8B5E61CA1486}">
      <formula1>"1 - Preparatory,2 - Work Readiness,3 - First Work Review,4 - Follow-Up"</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0ADB2-4AAA-F245-9E24-6D2C75764EC8}">
  <dimension ref="A1:K36"/>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2106</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2107</v>
      </c>
      <c r="H3" s="239"/>
      <c r="I3" s="217" t="s">
        <v>193</v>
      </c>
      <c r="J3" s="239" t="s">
        <v>2066</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335</v>
      </c>
      <c r="B5" s="239"/>
      <c r="C5" s="240"/>
      <c r="D5" s="240"/>
      <c r="E5" s="240"/>
      <c r="F5" s="240"/>
      <c r="G5" s="240"/>
      <c r="H5" s="240"/>
      <c r="I5" s="216"/>
      <c r="J5" s="241"/>
      <c r="K5" s="240"/>
    </row>
    <row r="6" spans="1:11" ht="20" customHeight="1" x14ac:dyDescent="0.2">
      <c r="A6" s="242" t="s">
        <v>2073</v>
      </c>
      <c r="B6" s="242"/>
      <c r="C6" s="218" t="s">
        <v>2074</v>
      </c>
      <c r="D6" s="219">
        <f>COUNTA($B$8:$B$32)</f>
        <v>25</v>
      </c>
      <c r="E6" s="218" t="s">
        <v>188</v>
      </c>
      <c r="F6" s="219">
        <f>COUNTIF($G$8:$G$32,"Pass")</f>
        <v>0</v>
      </c>
      <c r="G6" s="218" t="s">
        <v>189</v>
      </c>
      <c r="H6" s="219">
        <f>COUNTIF($G$8:$G$32,"Fail")</f>
        <v>0</v>
      </c>
      <c r="I6" s="218" t="s">
        <v>132</v>
      </c>
      <c r="J6" s="243">
        <f>IF($D$6=0,0,($F$6+COUNTIF($G$8:$G$32,"N/A"))/$D$6)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2108</v>
      </c>
      <c r="C8" s="208"/>
      <c r="D8" s="208"/>
      <c r="E8" s="208"/>
      <c r="F8" s="208"/>
      <c r="G8" s="208"/>
      <c r="H8" s="209"/>
      <c r="I8" s="208"/>
      <c r="J8" s="208"/>
      <c r="K8" s="27"/>
    </row>
    <row r="9" spans="1:11" x14ac:dyDescent="0.2">
      <c r="A9" s="210">
        <v>2</v>
      </c>
      <c r="B9" s="36" t="s">
        <v>2109</v>
      </c>
      <c r="C9" s="106"/>
      <c r="D9" s="106"/>
      <c r="E9" s="106"/>
      <c r="F9" s="106"/>
      <c r="G9" s="106"/>
      <c r="H9" s="105"/>
      <c r="I9" s="106"/>
      <c r="J9" s="106"/>
      <c r="K9" s="28"/>
    </row>
    <row r="10" spans="1:11" x14ac:dyDescent="0.2">
      <c r="A10" s="210">
        <v>3</v>
      </c>
      <c r="B10" s="36" t="s">
        <v>2110</v>
      </c>
      <c r="C10" s="106"/>
      <c r="D10" s="106"/>
      <c r="E10" s="106"/>
      <c r="F10" s="106"/>
      <c r="G10" s="106"/>
      <c r="H10" s="105"/>
      <c r="I10" s="106"/>
      <c r="J10" s="106"/>
      <c r="K10" s="28"/>
    </row>
    <row r="11" spans="1:11" x14ac:dyDescent="0.2">
      <c r="A11" s="210">
        <v>4</v>
      </c>
      <c r="B11" s="36" t="s">
        <v>2111</v>
      </c>
      <c r="C11" s="106"/>
      <c r="D11" s="106"/>
      <c r="E11" s="106"/>
      <c r="F11" s="106"/>
      <c r="G11" s="106"/>
      <c r="H11" s="105"/>
      <c r="I11" s="106"/>
      <c r="J11" s="106"/>
      <c r="K11" s="28"/>
    </row>
    <row r="12" spans="1:11" x14ac:dyDescent="0.2">
      <c r="A12" s="210">
        <v>5</v>
      </c>
      <c r="B12" s="36" t="s">
        <v>2112</v>
      </c>
      <c r="C12" s="106"/>
      <c r="D12" s="106"/>
      <c r="E12" s="106"/>
      <c r="F12" s="106"/>
      <c r="G12" s="106"/>
      <c r="H12" s="105"/>
      <c r="I12" s="106"/>
      <c r="J12" s="106"/>
      <c r="K12" s="28"/>
    </row>
    <row r="13" spans="1:11" x14ac:dyDescent="0.2">
      <c r="A13" s="210">
        <v>6</v>
      </c>
      <c r="B13" s="36" t="s">
        <v>2113</v>
      </c>
      <c r="C13" s="106"/>
      <c r="D13" s="106"/>
      <c r="E13" s="106"/>
      <c r="F13" s="106"/>
      <c r="G13" s="106"/>
      <c r="H13" s="105"/>
      <c r="I13" s="106"/>
      <c r="J13" s="106"/>
      <c r="K13" s="28"/>
    </row>
    <row r="14" spans="1:11" x14ac:dyDescent="0.2">
      <c r="A14" s="210">
        <v>7</v>
      </c>
      <c r="B14" s="36" t="s">
        <v>2114</v>
      </c>
      <c r="C14" s="106"/>
      <c r="D14" s="106"/>
      <c r="E14" s="106"/>
      <c r="F14" s="106"/>
      <c r="G14" s="106"/>
      <c r="H14" s="105"/>
      <c r="I14" s="106"/>
      <c r="J14" s="106"/>
      <c r="K14" s="28"/>
    </row>
    <row r="15" spans="1:11" x14ac:dyDescent="0.2">
      <c r="A15" s="210">
        <v>8</v>
      </c>
      <c r="B15" s="36" t="s">
        <v>2115</v>
      </c>
      <c r="C15" s="106"/>
      <c r="D15" s="106"/>
      <c r="E15" s="106"/>
      <c r="F15" s="106"/>
      <c r="G15" s="106"/>
      <c r="H15" s="105"/>
      <c r="I15" s="106"/>
      <c r="J15" s="106"/>
      <c r="K15" s="28"/>
    </row>
    <row r="16" spans="1:11" x14ac:dyDescent="0.2">
      <c r="A16" s="210">
        <v>9</v>
      </c>
      <c r="B16" s="36" t="s">
        <v>2116</v>
      </c>
      <c r="C16" s="106"/>
      <c r="D16" s="106"/>
      <c r="E16" s="106"/>
      <c r="F16" s="106"/>
      <c r="G16" s="106"/>
      <c r="H16" s="105"/>
      <c r="I16" s="106"/>
      <c r="J16" s="106"/>
      <c r="K16" s="28"/>
    </row>
    <row r="17" spans="1:11" x14ac:dyDescent="0.2">
      <c r="A17" s="210">
        <v>10</v>
      </c>
      <c r="B17" s="36" t="s">
        <v>2117</v>
      </c>
      <c r="C17" s="106"/>
      <c r="D17" s="106"/>
      <c r="E17" s="106"/>
      <c r="F17" s="106"/>
      <c r="G17" s="106"/>
      <c r="H17" s="105"/>
      <c r="I17" s="106"/>
      <c r="J17" s="106"/>
      <c r="K17" s="28"/>
    </row>
    <row r="18" spans="1:11" x14ac:dyDescent="0.2">
      <c r="A18" s="210">
        <v>11</v>
      </c>
      <c r="B18" s="36" t="s">
        <v>2118</v>
      </c>
      <c r="C18" s="106"/>
      <c r="D18" s="106"/>
      <c r="E18" s="106"/>
      <c r="F18" s="106"/>
      <c r="G18" s="106"/>
      <c r="H18" s="105"/>
      <c r="I18" s="106"/>
      <c r="J18" s="106"/>
      <c r="K18" s="28"/>
    </row>
    <row r="19" spans="1:11" x14ac:dyDescent="0.2">
      <c r="A19" s="210">
        <v>12</v>
      </c>
      <c r="B19" s="36" t="s">
        <v>2119</v>
      </c>
      <c r="C19" s="106"/>
      <c r="D19" s="106"/>
      <c r="E19" s="106"/>
      <c r="F19" s="106"/>
      <c r="G19" s="106"/>
      <c r="H19" s="105"/>
      <c r="I19" s="106"/>
      <c r="J19" s="106"/>
      <c r="K19" s="28"/>
    </row>
    <row r="20" spans="1:11" x14ac:dyDescent="0.2">
      <c r="A20" s="210">
        <v>13</v>
      </c>
      <c r="B20" s="36" t="s">
        <v>2120</v>
      </c>
      <c r="C20" s="106"/>
      <c r="D20" s="106"/>
      <c r="E20" s="106"/>
      <c r="F20" s="106"/>
      <c r="G20" s="106"/>
      <c r="H20" s="105"/>
      <c r="I20" s="106"/>
      <c r="J20" s="106"/>
      <c r="K20" s="28"/>
    </row>
    <row r="21" spans="1:11" x14ac:dyDescent="0.2">
      <c r="A21" s="210">
        <v>14</v>
      </c>
      <c r="B21" s="36" t="s">
        <v>2121</v>
      </c>
      <c r="C21" s="106"/>
      <c r="D21" s="106"/>
      <c r="E21" s="106"/>
      <c r="F21" s="106"/>
      <c r="G21" s="106"/>
      <c r="H21" s="105"/>
      <c r="I21" s="106"/>
      <c r="J21" s="106"/>
      <c r="K21" s="28"/>
    </row>
    <row r="22" spans="1:11" x14ac:dyDescent="0.2">
      <c r="A22" s="210">
        <v>15</v>
      </c>
      <c r="B22" s="36" t="s">
        <v>2122</v>
      </c>
      <c r="C22" s="106"/>
      <c r="D22" s="106"/>
      <c r="E22" s="106"/>
      <c r="F22" s="106"/>
      <c r="G22" s="106"/>
      <c r="H22" s="105"/>
      <c r="I22" s="106"/>
      <c r="J22" s="106"/>
      <c r="K22" s="28"/>
    </row>
    <row r="23" spans="1:11" x14ac:dyDescent="0.2">
      <c r="A23" s="210">
        <v>16</v>
      </c>
      <c r="B23" s="36" t="s">
        <v>2123</v>
      </c>
      <c r="C23" s="106"/>
      <c r="D23" s="106"/>
      <c r="E23" s="106"/>
      <c r="F23" s="106"/>
      <c r="G23" s="106"/>
      <c r="H23" s="105"/>
      <c r="I23" s="106"/>
      <c r="J23" s="106"/>
      <c r="K23" s="28"/>
    </row>
    <row r="24" spans="1:11" x14ac:dyDescent="0.2">
      <c r="A24" s="210">
        <v>17</v>
      </c>
      <c r="B24" s="36" t="s">
        <v>2124</v>
      </c>
      <c r="C24" s="106"/>
      <c r="D24" s="106"/>
      <c r="E24" s="106"/>
      <c r="F24" s="106"/>
      <c r="G24" s="106"/>
      <c r="H24" s="105"/>
      <c r="I24" s="106"/>
      <c r="J24" s="106"/>
      <c r="K24" s="28"/>
    </row>
    <row r="25" spans="1:11" x14ac:dyDescent="0.2">
      <c r="A25" s="210">
        <v>18</v>
      </c>
      <c r="B25" s="36" t="s">
        <v>2125</v>
      </c>
      <c r="C25" s="106"/>
      <c r="D25" s="106"/>
      <c r="E25" s="106"/>
      <c r="F25" s="106"/>
      <c r="G25" s="106"/>
      <c r="H25" s="105"/>
      <c r="I25" s="106"/>
      <c r="J25" s="106"/>
      <c r="K25" s="28"/>
    </row>
    <row r="26" spans="1:11" x14ac:dyDescent="0.2">
      <c r="A26" s="210">
        <v>19</v>
      </c>
      <c r="B26" s="36" t="s">
        <v>2126</v>
      </c>
      <c r="C26" s="106"/>
      <c r="D26" s="106"/>
      <c r="E26" s="106"/>
      <c r="F26" s="106"/>
      <c r="G26" s="106"/>
      <c r="H26" s="105"/>
      <c r="I26" s="106"/>
      <c r="J26" s="106"/>
      <c r="K26" s="28"/>
    </row>
    <row r="27" spans="1:11" x14ac:dyDescent="0.2">
      <c r="A27" s="210">
        <v>20</v>
      </c>
      <c r="B27" s="36" t="s">
        <v>2127</v>
      </c>
      <c r="C27" s="106"/>
      <c r="D27" s="106"/>
      <c r="E27" s="106"/>
      <c r="F27" s="106"/>
      <c r="G27" s="106"/>
      <c r="H27" s="105"/>
      <c r="I27" s="106"/>
      <c r="J27" s="106"/>
      <c r="K27" s="28"/>
    </row>
    <row r="28" spans="1:11" x14ac:dyDescent="0.2">
      <c r="A28" s="210">
        <v>21</v>
      </c>
      <c r="B28" s="36" t="s">
        <v>2128</v>
      </c>
      <c r="C28" s="106"/>
      <c r="D28" s="106"/>
      <c r="E28" s="106"/>
      <c r="F28" s="106"/>
      <c r="G28" s="106"/>
      <c r="H28" s="105"/>
      <c r="I28" s="106"/>
      <c r="J28" s="106"/>
      <c r="K28" s="28"/>
    </row>
    <row r="29" spans="1:11" x14ac:dyDescent="0.2">
      <c r="A29" s="210">
        <v>22</v>
      </c>
      <c r="B29" s="36" t="s">
        <v>2129</v>
      </c>
      <c r="C29" s="106"/>
      <c r="D29" s="106"/>
      <c r="E29" s="106"/>
      <c r="F29" s="106"/>
      <c r="G29" s="106"/>
      <c r="H29" s="105"/>
      <c r="I29" s="106"/>
      <c r="J29" s="106"/>
      <c r="K29" s="28"/>
    </row>
    <row r="30" spans="1:11" x14ac:dyDescent="0.2">
      <c r="A30" s="210">
        <v>23</v>
      </c>
      <c r="B30" s="36" t="s">
        <v>2130</v>
      </c>
      <c r="C30" s="106"/>
      <c r="D30" s="106"/>
      <c r="E30" s="106"/>
      <c r="F30" s="106"/>
      <c r="G30" s="106"/>
      <c r="H30" s="105"/>
      <c r="I30" s="106"/>
      <c r="J30" s="106"/>
      <c r="K30" s="28"/>
    </row>
    <row r="31" spans="1:11" x14ac:dyDescent="0.2">
      <c r="A31" s="210">
        <v>24</v>
      </c>
      <c r="B31" s="36" t="s">
        <v>2131</v>
      </c>
      <c r="C31" s="106"/>
      <c r="D31" s="106"/>
      <c r="E31" s="106"/>
      <c r="F31" s="106"/>
      <c r="G31" s="106"/>
      <c r="H31" s="105"/>
      <c r="I31" s="106"/>
      <c r="J31" s="106"/>
      <c r="K31" s="28"/>
    </row>
    <row r="32" spans="1:11" x14ac:dyDescent="0.2">
      <c r="A32" s="211">
        <v>25</v>
      </c>
      <c r="B32" s="212" t="s">
        <v>2132</v>
      </c>
      <c r="C32" s="213"/>
      <c r="D32" s="213"/>
      <c r="E32" s="213"/>
      <c r="F32" s="213"/>
      <c r="G32" s="213"/>
      <c r="H32" s="214"/>
      <c r="I32" s="213"/>
      <c r="J32" s="213"/>
      <c r="K32" s="215"/>
    </row>
    <row r="33" spans="1:11" x14ac:dyDescent="0.2">
      <c r="A33" s="4"/>
      <c r="B33" s="4"/>
      <c r="C33" s="4"/>
      <c r="D33" s="4"/>
      <c r="E33" s="4"/>
      <c r="F33" s="4"/>
      <c r="G33" s="4"/>
      <c r="H33" s="4"/>
      <c r="I33" s="4"/>
      <c r="J33" s="4"/>
      <c r="K33" s="4"/>
    </row>
    <row r="34" spans="1:11" ht="20" customHeight="1" x14ac:dyDescent="0.2">
      <c r="A34" s="245" t="s">
        <v>2102</v>
      </c>
      <c r="B34" s="245"/>
      <c r="C34" s="245"/>
      <c r="D34" s="245"/>
      <c r="E34" s="245"/>
      <c r="F34" s="245"/>
      <c r="G34" s="245"/>
      <c r="H34" s="245"/>
      <c r="I34" s="245"/>
      <c r="J34" s="245"/>
      <c r="K34" s="245"/>
    </row>
    <row r="35" spans="1:11" x14ac:dyDescent="0.2">
      <c r="A35" s="246" t="s">
        <v>2103</v>
      </c>
      <c r="B35" s="246"/>
      <c r="C35" s="246"/>
      <c r="D35" s="246" t="s">
        <v>2104</v>
      </c>
      <c r="E35" s="246"/>
      <c r="F35" s="246"/>
      <c r="G35" s="246" t="s">
        <v>2105</v>
      </c>
      <c r="H35" s="246"/>
      <c r="I35" s="246"/>
      <c r="J35" s="246" t="s">
        <v>973</v>
      </c>
      <c r="K35" s="246"/>
    </row>
    <row r="36" spans="1:11" ht="26" customHeight="1" x14ac:dyDescent="0.2">
      <c r="A36" s="235"/>
      <c r="B36" s="236"/>
      <c r="C36" s="236"/>
      <c r="D36" s="236"/>
      <c r="E36" s="236"/>
      <c r="F36" s="236"/>
      <c r="G36" s="236"/>
      <c r="H36" s="236"/>
      <c r="I36" s="236"/>
      <c r="J36" s="237"/>
      <c r="K36"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6:C36"/>
    <mergeCell ref="D36:F36"/>
    <mergeCell ref="G36:I36"/>
    <mergeCell ref="J36:K36"/>
    <mergeCell ref="A5:B5"/>
    <mergeCell ref="C5:D5"/>
    <mergeCell ref="E5:F5"/>
    <mergeCell ref="G5:H5"/>
    <mergeCell ref="J5:K5"/>
    <mergeCell ref="A6:B6"/>
    <mergeCell ref="J6:K6"/>
    <mergeCell ref="A34:K34"/>
    <mergeCell ref="A35:C35"/>
    <mergeCell ref="D35:F35"/>
    <mergeCell ref="G35:I35"/>
    <mergeCell ref="J35:K35"/>
  </mergeCells>
  <conditionalFormatting sqref="C8:F32">
    <cfRule type="containsText" dxfId="74" priority="3" operator="containsText" text="No">
      <formula>NOT(ISERROR(SEARCH("No",C8)))</formula>
    </cfRule>
  </conditionalFormatting>
  <conditionalFormatting sqref="G8:G32">
    <cfRule type="containsText" dxfId="73" priority="1" operator="containsText" text="Pass">
      <formula>NOT(ISERROR(SEARCH("Pass",G8)))</formula>
    </cfRule>
    <cfRule type="containsText" dxfId="72" priority="2" operator="containsText" text="Fail">
      <formula>NOT(ISERROR(SEARCH("Fail",G8)))</formula>
    </cfRule>
  </conditionalFormatting>
  <dataValidations count="3">
    <dataValidation type="list" allowBlank="1" showInputMessage="1" showErrorMessage="1" sqref="C8:C32 D8:D32 E8:E32 F8:F32" xr:uid="{F4782381-89B0-474D-B9E9-80A805D73347}">
      <formula1>"Yes,No,N/A"</formula1>
    </dataValidation>
    <dataValidation type="list" allowBlank="1" showInputMessage="1" showErrorMessage="1" sqref="G8:G32" xr:uid="{1CF166A3-3877-C647-BDB8-25BAC320EC59}">
      <formula1>"Pass,Fail,N/A"</formula1>
    </dataValidation>
    <dataValidation type="list" allowBlank="1" showInputMessage="1" showErrorMessage="1" sqref="G5" xr:uid="{A2299213-26F6-224E-83D3-76D8CD969787}">
      <formula1>"1 - Preparatory,2 - Work Readiness,3 - First Work Review,4 - Follow-Up"</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FF08-CB7A-4C4C-B742-625794880885}">
  <dimension ref="A1:K37"/>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2133</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1837</v>
      </c>
      <c r="H3" s="239"/>
      <c r="I3" s="217" t="s">
        <v>193</v>
      </c>
      <c r="J3" s="239" t="s">
        <v>2066</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335</v>
      </c>
      <c r="B5" s="239"/>
      <c r="C5" s="240"/>
      <c r="D5" s="240"/>
      <c r="E5" s="240"/>
      <c r="F5" s="240"/>
      <c r="G5" s="240"/>
      <c r="H5" s="240"/>
      <c r="I5" s="216"/>
      <c r="J5" s="241"/>
      <c r="K5" s="240"/>
    </row>
    <row r="6" spans="1:11" ht="20" customHeight="1" x14ac:dyDescent="0.2">
      <c r="A6" s="242" t="s">
        <v>2073</v>
      </c>
      <c r="B6" s="242"/>
      <c r="C6" s="218" t="s">
        <v>2074</v>
      </c>
      <c r="D6" s="219">
        <f>COUNTA($B$8:$B$33)</f>
        <v>26</v>
      </c>
      <c r="E6" s="218" t="s">
        <v>188</v>
      </c>
      <c r="F6" s="219">
        <f>COUNTIF($G$8:$G$33,"Pass")</f>
        <v>0</v>
      </c>
      <c r="G6" s="218" t="s">
        <v>189</v>
      </c>
      <c r="H6" s="219">
        <f>COUNTIF($G$8:$G$33,"Fail")</f>
        <v>0</v>
      </c>
      <c r="I6" s="218" t="s">
        <v>132</v>
      </c>
      <c r="J6" s="243">
        <f>IF($D$6=0,0,($F$6+COUNTIF($G$8:$G$33,"N/A"))/$D$6)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2134</v>
      </c>
      <c r="C8" s="208"/>
      <c r="D8" s="208"/>
      <c r="E8" s="208"/>
      <c r="F8" s="208"/>
      <c r="G8" s="208"/>
      <c r="H8" s="209"/>
      <c r="I8" s="208"/>
      <c r="J8" s="208"/>
      <c r="K8" s="27"/>
    </row>
    <row r="9" spans="1:11" x14ac:dyDescent="0.2">
      <c r="A9" s="210">
        <v>2</v>
      </c>
      <c r="B9" s="36" t="s">
        <v>2135</v>
      </c>
      <c r="C9" s="106"/>
      <c r="D9" s="106"/>
      <c r="E9" s="106"/>
      <c r="F9" s="106"/>
      <c r="G9" s="106"/>
      <c r="H9" s="105"/>
      <c r="I9" s="106"/>
      <c r="J9" s="106"/>
      <c r="K9" s="28"/>
    </row>
    <row r="10" spans="1:11" x14ac:dyDescent="0.2">
      <c r="A10" s="210">
        <v>3</v>
      </c>
      <c r="B10" s="36" t="s">
        <v>2136</v>
      </c>
      <c r="C10" s="106"/>
      <c r="D10" s="106"/>
      <c r="E10" s="106"/>
      <c r="F10" s="106"/>
      <c r="G10" s="106"/>
      <c r="H10" s="105"/>
      <c r="I10" s="106"/>
      <c r="J10" s="106"/>
      <c r="K10" s="28"/>
    </row>
    <row r="11" spans="1:11" x14ac:dyDescent="0.2">
      <c r="A11" s="210">
        <v>4</v>
      </c>
      <c r="B11" s="36" t="s">
        <v>2137</v>
      </c>
      <c r="C11" s="106"/>
      <c r="D11" s="106"/>
      <c r="E11" s="106"/>
      <c r="F11" s="106"/>
      <c r="G11" s="106"/>
      <c r="H11" s="105"/>
      <c r="I11" s="106"/>
      <c r="J11" s="106"/>
      <c r="K11" s="28"/>
    </row>
    <row r="12" spans="1:11" x14ac:dyDescent="0.2">
      <c r="A12" s="210">
        <v>5</v>
      </c>
      <c r="B12" s="36" t="s">
        <v>2138</v>
      </c>
      <c r="C12" s="106"/>
      <c r="D12" s="106"/>
      <c r="E12" s="106"/>
      <c r="F12" s="106"/>
      <c r="G12" s="106"/>
      <c r="H12" s="105"/>
      <c r="I12" s="106"/>
      <c r="J12" s="106"/>
      <c r="K12" s="28"/>
    </row>
    <row r="13" spans="1:11" x14ac:dyDescent="0.2">
      <c r="A13" s="210">
        <v>6</v>
      </c>
      <c r="B13" s="36" t="s">
        <v>2139</v>
      </c>
      <c r="C13" s="106"/>
      <c r="D13" s="106"/>
      <c r="E13" s="106"/>
      <c r="F13" s="106"/>
      <c r="G13" s="106"/>
      <c r="H13" s="105"/>
      <c r="I13" s="106"/>
      <c r="J13" s="106"/>
      <c r="K13" s="28"/>
    </row>
    <row r="14" spans="1:11" x14ac:dyDescent="0.2">
      <c r="A14" s="210">
        <v>7</v>
      </c>
      <c r="B14" s="36" t="s">
        <v>2140</v>
      </c>
      <c r="C14" s="106"/>
      <c r="D14" s="106"/>
      <c r="E14" s="106"/>
      <c r="F14" s="106"/>
      <c r="G14" s="106"/>
      <c r="H14" s="105"/>
      <c r="I14" s="106"/>
      <c r="J14" s="106"/>
      <c r="K14" s="28"/>
    </row>
    <row r="15" spans="1:11" x14ac:dyDescent="0.2">
      <c r="A15" s="210">
        <v>8</v>
      </c>
      <c r="B15" s="36" t="s">
        <v>2141</v>
      </c>
      <c r="C15" s="106"/>
      <c r="D15" s="106"/>
      <c r="E15" s="106"/>
      <c r="F15" s="106"/>
      <c r="G15" s="106"/>
      <c r="H15" s="105"/>
      <c r="I15" s="106"/>
      <c r="J15" s="106"/>
      <c r="K15" s="28"/>
    </row>
    <row r="16" spans="1:11" x14ac:dyDescent="0.2">
      <c r="A16" s="210">
        <v>9</v>
      </c>
      <c r="B16" s="36" t="s">
        <v>2142</v>
      </c>
      <c r="C16" s="106"/>
      <c r="D16" s="106"/>
      <c r="E16" s="106"/>
      <c r="F16" s="106"/>
      <c r="G16" s="106"/>
      <c r="H16" s="105"/>
      <c r="I16" s="106"/>
      <c r="J16" s="106"/>
      <c r="K16" s="28"/>
    </row>
    <row r="17" spans="1:11" x14ac:dyDescent="0.2">
      <c r="A17" s="210">
        <v>10</v>
      </c>
      <c r="B17" s="36" t="s">
        <v>2143</v>
      </c>
      <c r="C17" s="106"/>
      <c r="D17" s="106"/>
      <c r="E17" s="106"/>
      <c r="F17" s="106"/>
      <c r="G17" s="106"/>
      <c r="H17" s="105"/>
      <c r="I17" s="106"/>
      <c r="J17" s="106"/>
      <c r="K17" s="28"/>
    </row>
    <row r="18" spans="1:11" x14ac:dyDescent="0.2">
      <c r="A18" s="210">
        <v>11</v>
      </c>
      <c r="B18" s="36" t="s">
        <v>2144</v>
      </c>
      <c r="C18" s="106"/>
      <c r="D18" s="106"/>
      <c r="E18" s="106"/>
      <c r="F18" s="106"/>
      <c r="G18" s="106"/>
      <c r="H18" s="105"/>
      <c r="I18" s="106"/>
      <c r="J18" s="106"/>
      <c r="K18" s="28"/>
    </row>
    <row r="19" spans="1:11" x14ac:dyDescent="0.2">
      <c r="A19" s="210">
        <v>12</v>
      </c>
      <c r="B19" s="36" t="s">
        <v>2145</v>
      </c>
      <c r="C19" s="106"/>
      <c r="D19" s="106"/>
      <c r="E19" s="106"/>
      <c r="F19" s="106"/>
      <c r="G19" s="106"/>
      <c r="H19" s="105"/>
      <c r="I19" s="106"/>
      <c r="J19" s="106"/>
      <c r="K19" s="28"/>
    </row>
    <row r="20" spans="1:11" x14ac:dyDescent="0.2">
      <c r="A20" s="210">
        <v>13</v>
      </c>
      <c r="B20" s="36" t="s">
        <v>2146</v>
      </c>
      <c r="C20" s="106"/>
      <c r="D20" s="106"/>
      <c r="E20" s="106"/>
      <c r="F20" s="106"/>
      <c r="G20" s="106"/>
      <c r="H20" s="105"/>
      <c r="I20" s="106"/>
      <c r="J20" s="106"/>
      <c r="K20" s="28"/>
    </row>
    <row r="21" spans="1:11" x14ac:dyDescent="0.2">
      <c r="A21" s="210">
        <v>14</v>
      </c>
      <c r="B21" s="36" t="s">
        <v>2147</v>
      </c>
      <c r="C21" s="106"/>
      <c r="D21" s="106"/>
      <c r="E21" s="106"/>
      <c r="F21" s="106"/>
      <c r="G21" s="106"/>
      <c r="H21" s="105"/>
      <c r="I21" s="106"/>
      <c r="J21" s="106"/>
      <c r="K21" s="28"/>
    </row>
    <row r="22" spans="1:11" x14ac:dyDescent="0.2">
      <c r="A22" s="210">
        <v>15</v>
      </c>
      <c r="B22" s="36" t="s">
        <v>2148</v>
      </c>
      <c r="C22" s="106"/>
      <c r="D22" s="106"/>
      <c r="E22" s="106"/>
      <c r="F22" s="106"/>
      <c r="G22" s="106"/>
      <c r="H22" s="105"/>
      <c r="I22" s="106"/>
      <c r="J22" s="106"/>
      <c r="K22" s="28"/>
    </row>
    <row r="23" spans="1:11" x14ac:dyDescent="0.2">
      <c r="A23" s="210">
        <v>16</v>
      </c>
      <c r="B23" s="36" t="s">
        <v>2149</v>
      </c>
      <c r="C23" s="106"/>
      <c r="D23" s="106"/>
      <c r="E23" s="106"/>
      <c r="F23" s="106"/>
      <c r="G23" s="106"/>
      <c r="H23" s="105"/>
      <c r="I23" s="106"/>
      <c r="J23" s="106"/>
      <c r="K23" s="28"/>
    </row>
    <row r="24" spans="1:11" x14ac:dyDescent="0.2">
      <c r="A24" s="210">
        <v>17</v>
      </c>
      <c r="B24" s="36" t="s">
        <v>2150</v>
      </c>
      <c r="C24" s="106"/>
      <c r="D24" s="106"/>
      <c r="E24" s="106"/>
      <c r="F24" s="106"/>
      <c r="G24" s="106"/>
      <c r="H24" s="105"/>
      <c r="I24" s="106"/>
      <c r="J24" s="106"/>
      <c r="K24" s="28"/>
    </row>
    <row r="25" spans="1:11" x14ac:dyDescent="0.2">
      <c r="A25" s="210">
        <v>18</v>
      </c>
      <c r="B25" s="36" t="s">
        <v>2151</v>
      </c>
      <c r="C25" s="106"/>
      <c r="D25" s="106"/>
      <c r="E25" s="106"/>
      <c r="F25" s="106"/>
      <c r="G25" s="106"/>
      <c r="H25" s="105"/>
      <c r="I25" s="106"/>
      <c r="J25" s="106"/>
      <c r="K25" s="28"/>
    </row>
    <row r="26" spans="1:11" x14ac:dyDescent="0.2">
      <c r="A26" s="210">
        <v>19</v>
      </c>
      <c r="B26" s="36" t="s">
        <v>2152</v>
      </c>
      <c r="C26" s="106"/>
      <c r="D26" s="106"/>
      <c r="E26" s="106"/>
      <c r="F26" s="106"/>
      <c r="G26" s="106"/>
      <c r="H26" s="105"/>
      <c r="I26" s="106"/>
      <c r="J26" s="106"/>
      <c r="K26" s="28"/>
    </row>
    <row r="27" spans="1:11" x14ac:dyDescent="0.2">
      <c r="A27" s="210">
        <v>20</v>
      </c>
      <c r="B27" s="36" t="s">
        <v>2153</v>
      </c>
      <c r="C27" s="106"/>
      <c r="D27" s="106"/>
      <c r="E27" s="106"/>
      <c r="F27" s="106"/>
      <c r="G27" s="106"/>
      <c r="H27" s="105"/>
      <c r="I27" s="106"/>
      <c r="J27" s="106"/>
      <c r="K27" s="28"/>
    </row>
    <row r="28" spans="1:11" x14ac:dyDescent="0.2">
      <c r="A28" s="210">
        <v>21</v>
      </c>
      <c r="B28" s="36" t="s">
        <v>2154</v>
      </c>
      <c r="C28" s="106"/>
      <c r="D28" s="106"/>
      <c r="E28" s="106"/>
      <c r="F28" s="106"/>
      <c r="G28" s="106"/>
      <c r="H28" s="105"/>
      <c r="I28" s="106"/>
      <c r="J28" s="106"/>
      <c r="K28" s="28"/>
    </row>
    <row r="29" spans="1:11" x14ac:dyDescent="0.2">
      <c r="A29" s="210">
        <v>22</v>
      </c>
      <c r="B29" s="36" t="s">
        <v>2155</v>
      </c>
      <c r="C29" s="106"/>
      <c r="D29" s="106"/>
      <c r="E29" s="106"/>
      <c r="F29" s="106"/>
      <c r="G29" s="106"/>
      <c r="H29" s="105"/>
      <c r="I29" s="106"/>
      <c r="J29" s="106"/>
      <c r="K29" s="28"/>
    </row>
    <row r="30" spans="1:11" x14ac:dyDescent="0.2">
      <c r="A30" s="210">
        <v>23</v>
      </c>
      <c r="B30" s="36" t="s">
        <v>2156</v>
      </c>
      <c r="C30" s="106"/>
      <c r="D30" s="106"/>
      <c r="E30" s="106"/>
      <c r="F30" s="106"/>
      <c r="G30" s="106"/>
      <c r="H30" s="105"/>
      <c r="I30" s="106"/>
      <c r="J30" s="106"/>
      <c r="K30" s="28"/>
    </row>
    <row r="31" spans="1:11" x14ac:dyDescent="0.2">
      <c r="A31" s="210">
        <v>24</v>
      </c>
      <c r="B31" s="36" t="s">
        <v>2157</v>
      </c>
      <c r="C31" s="106"/>
      <c r="D31" s="106"/>
      <c r="E31" s="106"/>
      <c r="F31" s="106"/>
      <c r="G31" s="106"/>
      <c r="H31" s="105"/>
      <c r="I31" s="106"/>
      <c r="J31" s="106"/>
      <c r="K31" s="28"/>
    </row>
    <row r="32" spans="1:11" x14ac:dyDescent="0.2">
      <c r="A32" s="210">
        <v>25</v>
      </c>
      <c r="B32" s="36" t="s">
        <v>2158</v>
      </c>
      <c r="C32" s="106"/>
      <c r="D32" s="106"/>
      <c r="E32" s="106"/>
      <c r="F32" s="106"/>
      <c r="G32" s="106"/>
      <c r="H32" s="105"/>
      <c r="I32" s="106"/>
      <c r="J32" s="106"/>
      <c r="K32" s="28"/>
    </row>
    <row r="33" spans="1:11" x14ac:dyDescent="0.2">
      <c r="A33" s="211">
        <v>26</v>
      </c>
      <c r="B33" s="212" t="s">
        <v>2159</v>
      </c>
      <c r="C33" s="213"/>
      <c r="D33" s="213"/>
      <c r="E33" s="213"/>
      <c r="F33" s="213"/>
      <c r="G33" s="213"/>
      <c r="H33" s="214"/>
      <c r="I33" s="213"/>
      <c r="J33" s="213"/>
      <c r="K33" s="215"/>
    </row>
    <row r="34" spans="1:11" x14ac:dyDescent="0.2">
      <c r="A34" s="4"/>
      <c r="B34" s="4"/>
      <c r="C34" s="4"/>
      <c r="D34" s="4"/>
      <c r="E34" s="4"/>
      <c r="F34" s="4"/>
      <c r="G34" s="4"/>
      <c r="H34" s="4"/>
      <c r="I34" s="4"/>
      <c r="J34" s="4"/>
      <c r="K34" s="4"/>
    </row>
    <row r="35" spans="1:11" ht="20" customHeight="1" x14ac:dyDescent="0.2">
      <c r="A35" s="245" t="s">
        <v>2102</v>
      </c>
      <c r="B35" s="245"/>
      <c r="C35" s="245"/>
      <c r="D35" s="245"/>
      <c r="E35" s="245"/>
      <c r="F35" s="245"/>
      <c r="G35" s="245"/>
      <c r="H35" s="245"/>
      <c r="I35" s="245"/>
      <c r="J35" s="245"/>
      <c r="K35" s="245"/>
    </row>
    <row r="36" spans="1:11" x14ac:dyDescent="0.2">
      <c r="A36" s="246" t="s">
        <v>2103</v>
      </c>
      <c r="B36" s="246"/>
      <c r="C36" s="246"/>
      <c r="D36" s="246" t="s">
        <v>2104</v>
      </c>
      <c r="E36" s="246"/>
      <c r="F36" s="246"/>
      <c r="G36" s="246" t="s">
        <v>2105</v>
      </c>
      <c r="H36" s="246"/>
      <c r="I36" s="246"/>
      <c r="J36" s="246" t="s">
        <v>973</v>
      </c>
      <c r="K36" s="246"/>
    </row>
    <row r="37" spans="1:11" ht="26" customHeight="1" x14ac:dyDescent="0.2">
      <c r="A37" s="235"/>
      <c r="B37" s="236"/>
      <c r="C37" s="236"/>
      <c r="D37" s="236"/>
      <c r="E37" s="236"/>
      <c r="F37" s="236"/>
      <c r="G37" s="236"/>
      <c r="H37" s="236"/>
      <c r="I37" s="236"/>
      <c r="J37" s="237"/>
      <c r="K37"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7:C37"/>
    <mergeCell ref="D37:F37"/>
    <mergeCell ref="G37:I37"/>
    <mergeCell ref="J37:K37"/>
    <mergeCell ref="A5:B5"/>
    <mergeCell ref="C5:D5"/>
    <mergeCell ref="E5:F5"/>
    <mergeCell ref="G5:H5"/>
    <mergeCell ref="J5:K5"/>
    <mergeCell ref="A6:B6"/>
    <mergeCell ref="J6:K6"/>
    <mergeCell ref="A35:K35"/>
    <mergeCell ref="A36:C36"/>
    <mergeCell ref="D36:F36"/>
    <mergeCell ref="G36:I36"/>
    <mergeCell ref="J36:K36"/>
  </mergeCells>
  <conditionalFormatting sqref="C8:F33">
    <cfRule type="containsText" dxfId="71" priority="3" operator="containsText" text="No">
      <formula>NOT(ISERROR(SEARCH("No",C8)))</formula>
    </cfRule>
  </conditionalFormatting>
  <conditionalFormatting sqref="G8:G33">
    <cfRule type="containsText" dxfId="70" priority="1" operator="containsText" text="Pass">
      <formula>NOT(ISERROR(SEARCH("Pass",G8)))</formula>
    </cfRule>
    <cfRule type="containsText" dxfId="69" priority="2" operator="containsText" text="Fail">
      <formula>NOT(ISERROR(SEARCH("Fail",G8)))</formula>
    </cfRule>
  </conditionalFormatting>
  <dataValidations count="3">
    <dataValidation type="list" allowBlank="1" showInputMessage="1" showErrorMessage="1" sqref="C8:C33 D8:D33 E8:E33 F8:F33" xr:uid="{8CEA0C67-22CF-4E4E-A83A-4D173A474390}">
      <formula1>"Yes,No,N/A"</formula1>
    </dataValidation>
    <dataValidation type="list" allowBlank="1" showInputMessage="1" showErrorMessage="1" sqref="G8:G33" xr:uid="{44691788-5C37-EC47-A6F5-9700B5EABCA5}">
      <formula1>"Pass,Fail,N/A"</formula1>
    </dataValidation>
    <dataValidation type="list" allowBlank="1" showInputMessage="1" showErrorMessage="1" sqref="G5" xr:uid="{3CAAE0DE-A905-554C-8D1D-0E6C17D732BA}">
      <formula1>"1 - Preparatory,2 - Work Readiness,3 - First Work Review,4 - Follow-Up"</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0A6EA-D496-2042-B8B7-FF106E015A15}">
  <dimension ref="A1:K39"/>
  <sheetViews>
    <sheetView tabSelected="1"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2160</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334</v>
      </c>
      <c r="H3" s="239"/>
      <c r="I3" s="217" t="s">
        <v>193</v>
      </c>
      <c r="J3" s="239" t="s">
        <v>2066</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335</v>
      </c>
      <c r="B5" s="239"/>
      <c r="C5" s="240"/>
      <c r="D5" s="240"/>
      <c r="E5" s="240"/>
      <c r="F5" s="240"/>
      <c r="G5" s="240"/>
      <c r="H5" s="240"/>
      <c r="I5" s="216"/>
      <c r="J5" s="241"/>
      <c r="K5" s="240"/>
    </row>
    <row r="6" spans="1:11" ht="20" customHeight="1" x14ac:dyDescent="0.2">
      <c r="A6" s="242" t="s">
        <v>2073</v>
      </c>
      <c r="B6" s="242"/>
      <c r="C6" s="218" t="s">
        <v>2074</v>
      </c>
      <c r="D6" s="219">
        <f>COUNTA($B$8:$B$35)</f>
        <v>28</v>
      </c>
      <c r="E6" s="218" t="s">
        <v>188</v>
      </c>
      <c r="F6" s="219">
        <f>COUNTIF($G$8:$G$35,"Pass")</f>
        <v>0</v>
      </c>
      <c r="G6" s="218" t="s">
        <v>189</v>
      </c>
      <c r="H6" s="219">
        <f>COUNTIF($G$8:$G$35,"Fail")</f>
        <v>0</v>
      </c>
      <c r="I6" s="218" t="s">
        <v>132</v>
      </c>
      <c r="J6" s="243">
        <f>IF($D$6=0,0,($F$6+COUNTIF($G$8:$G$35,"N/A"))/$D$6)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2161</v>
      </c>
      <c r="C8" s="208"/>
      <c r="D8" s="208"/>
      <c r="E8" s="208"/>
      <c r="F8" s="208"/>
      <c r="G8" s="208"/>
      <c r="H8" s="209"/>
      <c r="I8" s="208"/>
      <c r="J8" s="208"/>
      <c r="K8" s="27"/>
    </row>
    <row r="9" spans="1:11" x14ac:dyDescent="0.2">
      <c r="A9" s="210">
        <v>2</v>
      </c>
      <c r="B9" s="36" t="s">
        <v>2162</v>
      </c>
      <c r="C9" s="106"/>
      <c r="D9" s="106"/>
      <c r="E9" s="106"/>
      <c r="F9" s="106"/>
      <c r="G9" s="106"/>
      <c r="H9" s="105"/>
      <c r="I9" s="106"/>
      <c r="J9" s="106"/>
      <c r="K9" s="28"/>
    </row>
    <row r="10" spans="1:11" x14ac:dyDescent="0.2">
      <c r="A10" s="210">
        <v>3</v>
      </c>
      <c r="B10" s="36" t="s">
        <v>2163</v>
      </c>
      <c r="C10" s="106"/>
      <c r="D10" s="106"/>
      <c r="E10" s="106"/>
      <c r="F10" s="106"/>
      <c r="G10" s="106"/>
      <c r="H10" s="105"/>
      <c r="I10" s="106"/>
      <c r="J10" s="106"/>
      <c r="K10" s="28"/>
    </row>
    <row r="11" spans="1:11" x14ac:dyDescent="0.2">
      <c r="A11" s="210">
        <v>4</v>
      </c>
      <c r="B11" s="36" t="s">
        <v>2164</v>
      </c>
      <c r="C11" s="106"/>
      <c r="D11" s="106"/>
      <c r="E11" s="106"/>
      <c r="F11" s="106"/>
      <c r="G11" s="106"/>
      <c r="H11" s="105"/>
      <c r="I11" s="106"/>
      <c r="J11" s="106"/>
      <c r="K11" s="28"/>
    </row>
    <row r="12" spans="1:11" x14ac:dyDescent="0.2">
      <c r="A12" s="210">
        <v>5</v>
      </c>
      <c r="B12" s="36" t="s">
        <v>2165</v>
      </c>
      <c r="C12" s="106"/>
      <c r="D12" s="106"/>
      <c r="E12" s="106"/>
      <c r="F12" s="106"/>
      <c r="G12" s="106"/>
      <c r="H12" s="105"/>
      <c r="I12" s="106"/>
      <c r="J12" s="106"/>
      <c r="K12" s="28"/>
    </row>
    <row r="13" spans="1:11" x14ac:dyDescent="0.2">
      <c r="A13" s="210">
        <v>6</v>
      </c>
      <c r="B13" s="36" t="s">
        <v>2166</v>
      </c>
      <c r="C13" s="106"/>
      <c r="D13" s="106"/>
      <c r="E13" s="106"/>
      <c r="F13" s="106"/>
      <c r="G13" s="106"/>
      <c r="H13" s="105"/>
      <c r="I13" s="106"/>
      <c r="J13" s="106"/>
      <c r="K13" s="28"/>
    </row>
    <row r="14" spans="1:11" x14ac:dyDescent="0.2">
      <c r="A14" s="210">
        <v>7</v>
      </c>
      <c r="B14" s="36" t="s">
        <v>2167</v>
      </c>
      <c r="C14" s="106"/>
      <c r="D14" s="106"/>
      <c r="E14" s="106"/>
      <c r="F14" s="106"/>
      <c r="G14" s="106"/>
      <c r="H14" s="105"/>
      <c r="I14" s="106"/>
      <c r="J14" s="106"/>
      <c r="K14" s="28"/>
    </row>
    <row r="15" spans="1:11" x14ac:dyDescent="0.2">
      <c r="A15" s="210">
        <v>8</v>
      </c>
      <c r="B15" s="36" t="s">
        <v>2168</v>
      </c>
      <c r="C15" s="106"/>
      <c r="D15" s="106"/>
      <c r="E15" s="106"/>
      <c r="F15" s="106"/>
      <c r="G15" s="106"/>
      <c r="H15" s="105"/>
      <c r="I15" s="106"/>
      <c r="J15" s="106"/>
      <c r="K15" s="28"/>
    </row>
    <row r="16" spans="1:11" x14ac:dyDescent="0.2">
      <c r="A16" s="210">
        <v>9</v>
      </c>
      <c r="B16" s="36" t="s">
        <v>2169</v>
      </c>
      <c r="C16" s="106"/>
      <c r="D16" s="106"/>
      <c r="E16" s="106"/>
      <c r="F16" s="106"/>
      <c r="G16" s="106"/>
      <c r="H16" s="105"/>
      <c r="I16" s="106"/>
      <c r="J16" s="106"/>
      <c r="K16" s="28"/>
    </row>
    <row r="17" spans="1:11" x14ac:dyDescent="0.2">
      <c r="A17" s="210">
        <v>10</v>
      </c>
      <c r="B17" s="36" t="s">
        <v>2170</v>
      </c>
      <c r="C17" s="106"/>
      <c r="D17" s="106"/>
      <c r="E17" s="106"/>
      <c r="F17" s="106"/>
      <c r="G17" s="106"/>
      <c r="H17" s="105"/>
      <c r="I17" s="106"/>
      <c r="J17" s="106"/>
      <c r="K17" s="28"/>
    </row>
    <row r="18" spans="1:11" x14ac:dyDescent="0.2">
      <c r="A18" s="210">
        <v>11</v>
      </c>
      <c r="B18" s="36" t="s">
        <v>2171</v>
      </c>
      <c r="C18" s="106"/>
      <c r="D18" s="106"/>
      <c r="E18" s="106"/>
      <c r="F18" s="106"/>
      <c r="G18" s="106"/>
      <c r="H18" s="105"/>
      <c r="I18" s="106"/>
      <c r="J18" s="106"/>
      <c r="K18" s="28"/>
    </row>
    <row r="19" spans="1:11" x14ac:dyDescent="0.2">
      <c r="A19" s="210">
        <v>12</v>
      </c>
      <c r="B19" s="36" t="s">
        <v>2172</v>
      </c>
      <c r="C19" s="106"/>
      <c r="D19" s="106"/>
      <c r="E19" s="106"/>
      <c r="F19" s="106"/>
      <c r="G19" s="106"/>
      <c r="H19" s="105"/>
      <c r="I19" s="106"/>
      <c r="J19" s="106"/>
      <c r="K19" s="28"/>
    </row>
    <row r="20" spans="1:11" x14ac:dyDescent="0.2">
      <c r="A20" s="210">
        <v>13</v>
      </c>
      <c r="B20" s="36" t="s">
        <v>2173</v>
      </c>
      <c r="C20" s="106"/>
      <c r="D20" s="106"/>
      <c r="E20" s="106"/>
      <c r="F20" s="106"/>
      <c r="G20" s="106"/>
      <c r="H20" s="105"/>
      <c r="I20" s="106"/>
      <c r="J20" s="106"/>
      <c r="K20" s="28"/>
    </row>
    <row r="21" spans="1:11" x14ac:dyDescent="0.2">
      <c r="A21" s="210">
        <v>14</v>
      </c>
      <c r="B21" s="36" t="s">
        <v>2174</v>
      </c>
      <c r="C21" s="106"/>
      <c r="D21" s="106"/>
      <c r="E21" s="106"/>
      <c r="F21" s="106"/>
      <c r="G21" s="106"/>
      <c r="H21" s="105"/>
      <c r="I21" s="106"/>
      <c r="J21" s="106"/>
      <c r="K21" s="28"/>
    </row>
    <row r="22" spans="1:11" x14ac:dyDescent="0.2">
      <c r="A22" s="210">
        <v>15</v>
      </c>
      <c r="B22" s="36" t="s">
        <v>2175</v>
      </c>
      <c r="C22" s="106"/>
      <c r="D22" s="106"/>
      <c r="E22" s="106"/>
      <c r="F22" s="106"/>
      <c r="G22" s="106"/>
      <c r="H22" s="105"/>
      <c r="I22" s="106"/>
      <c r="J22" s="106"/>
      <c r="K22" s="28"/>
    </row>
    <row r="23" spans="1:11" x14ac:dyDescent="0.2">
      <c r="A23" s="210">
        <v>16</v>
      </c>
      <c r="B23" s="36" t="s">
        <v>2176</v>
      </c>
      <c r="C23" s="106"/>
      <c r="D23" s="106"/>
      <c r="E23" s="106"/>
      <c r="F23" s="106"/>
      <c r="G23" s="106"/>
      <c r="H23" s="105"/>
      <c r="I23" s="106"/>
      <c r="J23" s="106"/>
      <c r="K23" s="28"/>
    </row>
    <row r="24" spans="1:11" x14ac:dyDescent="0.2">
      <c r="A24" s="210">
        <v>17</v>
      </c>
      <c r="B24" s="36" t="s">
        <v>2177</v>
      </c>
      <c r="C24" s="106"/>
      <c r="D24" s="106"/>
      <c r="E24" s="106"/>
      <c r="F24" s="106"/>
      <c r="G24" s="106"/>
      <c r="H24" s="105"/>
      <c r="I24" s="106"/>
      <c r="J24" s="106"/>
      <c r="K24" s="28"/>
    </row>
    <row r="25" spans="1:11" x14ac:dyDescent="0.2">
      <c r="A25" s="210">
        <v>18</v>
      </c>
      <c r="B25" s="36" t="s">
        <v>2178</v>
      </c>
      <c r="C25" s="106"/>
      <c r="D25" s="106"/>
      <c r="E25" s="106"/>
      <c r="F25" s="106"/>
      <c r="G25" s="106"/>
      <c r="H25" s="105"/>
      <c r="I25" s="106"/>
      <c r="J25" s="106"/>
      <c r="K25" s="28"/>
    </row>
    <row r="26" spans="1:11" x14ac:dyDescent="0.2">
      <c r="A26" s="210">
        <v>19</v>
      </c>
      <c r="B26" s="36" t="s">
        <v>2179</v>
      </c>
      <c r="C26" s="106"/>
      <c r="D26" s="106"/>
      <c r="E26" s="106"/>
      <c r="F26" s="106"/>
      <c r="G26" s="106"/>
      <c r="H26" s="105"/>
      <c r="I26" s="106"/>
      <c r="J26" s="106"/>
      <c r="K26" s="28"/>
    </row>
    <row r="27" spans="1:11" x14ac:dyDescent="0.2">
      <c r="A27" s="210">
        <v>20</v>
      </c>
      <c r="B27" s="36" t="s">
        <v>2180</v>
      </c>
      <c r="C27" s="106"/>
      <c r="D27" s="106"/>
      <c r="E27" s="106"/>
      <c r="F27" s="106"/>
      <c r="G27" s="106"/>
      <c r="H27" s="105"/>
      <c r="I27" s="106"/>
      <c r="J27" s="106"/>
      <c r="K27" s="28"/>
    </row>
    <row r="28" spans="1:11" x14ac:dyDescent="0.2">
      <c r="A28" s="210">
        <v>21</v>
      </c>
      <c r="B28" s="36" t="s">
        <v>2181</v>
      </c>
      <c r="C28" s="106"/>
      <c r="D28" s="106"/>
      <c r="E28" s="106"/>
      <c r="F28" s="106"/>
      <c r="G28" s="106"/>
      <c r="H28" s="105"/>
      <c r="I28" s="106"/>
      <c r="J28" s="106"/>
      <c r="K28" s="28"/>
    </row>
    <row r="29" spans="1:11" x14ac:dyDescent="0.2">
      <c r="A29" s="210">
        <v>22</v>
      </c>
      <c r="B29" s="36" t="s">
        <v>2182</v>
      </c>
      <c r="C29" s="106"/>
      <c r="D29" s="106"/>
      <c r="E29" s="106"/>
      <c r="F29" s="106"/>
      <c r="G29" s="106"/>
      <c r="H29" s="105"/>
      <c r="I29" s="106"/>
      <c r="J29" s="106"/>
      <c r="K29" s="28"/>
    </row>
    <row r="30" spans="1:11" x14ac:dyDescent="0.2">
      <c r="A30" s="210">
        <v>23</v>
      </c>
      <c r="B30" s="36" t="s">
        <v>2183</v>
      </c>
      <c r="C30" s="106"/>
      <c r="D30" s="106"/>
      <c r="E30" s="106"/>
      <c r="F30" s="106"/>
      <c r="G30" s="106"/>
      <c r="H30" s="105"/>
      <c r="I30" s="106"/>
      <c r="J30" s="106"/>
      <c r="K30" s="28"/>
    </row>
    <row r="31" spans="1:11" x14ac:dyDescent="0.2">
      <c r="A31" s="210">
        <v>24</v>
      </c>
      <c r="B31" s="36" t="s">
        <v>2184</v>
      </c>
      <c r="C31" s="106"/>
      <c r="D31" s="106"/>
      <c r="E31" s="106"/>
      <c r="F31" s="106"/>
      <c r="G31" s="106"/>
      <c r="H31" s="105"/>
      <c r="I31" s="106"/>
      <c r="J31" s="106"/>
      <c r="K31" s="28"/>
    </row>
    <row r="32" spans="1:11" x14ac:dyDescent="0.2">
      <c r="A32" s="210">
        <v>25</v>
      </c>
      <c r="B32" s="36" t="s">
        <v>2185</v>
      </c>
      <c r="C32" s="106"/>
      <c r="D32" s="106"/>
      <c r="E32" s="106"/>
      <c r="F32" s="106"/>
      <c r="G32" s="106"/>
      <c r="H32" s="105"/>
      <c r="I32" s="106"/>
      <c r="J32" s="106"/>
      <c r="K32" s="28"/>
    </row>
    <row r="33" spans="1:11" x14ac:dyDescent="0.2">
      <c r="A33" s="210">
        <v>26</v>
      </c>
      <c r="B33" s="36" t="s">
        <v>2186</v>
      </c>
      <c r="C33" s="106"/>
      <c r="D33" s="106"/>
      <c r="E33" s="106"/>
      <c r="F33" s="106"/>
      <c r="G33" s="106"/>
      <c r="H33" s="105"/>
      <c r="I33" s="106"/>
      <c r="J33" s="106"/>
      <c r="K33" s="28"/>
    </row>
    <row r="34" spans="1:11" x14ac:dyDescent="0.2">
      <c r="A34" s="210">
        <v>27</v>
      </c>
      <c r="B34" s="36" t="s">
        <v>2187</v>
      </c>
      <c r="C34" s="106"/>
      <c r="D34" s="106"/>
      <c r="E34" s="106"/>
      <c r="F34" s="106"/>
      <c r="G34" s="106"/>
      <c r="H34" s="105"/>
      <c r="I34" s="106"/>
      <c r="J34" s="106"/>
      <c r="K34" s="28"/>
    </row>
    <row r="35" spans="1:11" x14ac:dyDescent="0.2">
      <c r="A35" s="211">
        <v>28</v>
      </c>
      <c r="B35" s="212" t="s">
        <v>2188</v>
      </c>
      <c r="C35" s="213"/>
      <c r="D35" s="213"/>
      <c r="E35" s="213"/>
      <c r="F35" s="213"/>
      <c r="G35" s="213"/>
      <c r="H35" s="214"/>
      <c r="I35" s="213"/>
      <c r="J35" s="213"/>
      <c r="K35" s="215"/>
    </row>
    <row r="36" spans="1:11" x14ac:dyDescent="0.2">
      <c r="A36" s="4"/>
      <c r="B36" s="4"/>
      <c r="C36" s="4"/>
      <c r="D36" s="4"/>
      <c r="E36" s="4"/>
      <c r="F36" s="4"/>
      <c r="G36" s="4"/>
      <c r="H36" s="4"/>
      <c r="I36" s="4"/>
      <c r="J36" s="4"/>
      <c r="K36" s="4"/>
    </row>
    <row r="37" spans="1:11" ht="20" customHeight="1" x14ac:dyDescent="0.2">
      <c r="A37" s="245" t="s">
        <v>2102</v>
      </c>
      <c r="B37" s="245"/>
      <c r="C37" s="245"/>
      <c r="D37" s="245"/>
      <c r="E37" s="245"/>
      <c r="F37" s="245"/>
      <c r="G37" s="245"/>
      <c r="H37" s="245"/>
      <c r="I37" s="245"/>
      <c r="J37" s="245"/>
      <c r="K37" s="245"/>
    </row>
    <row r="38" spans="1:11" x14ac:dyDescent="0.2">
      <c r="A38" s="246" t="s">
        <v>2103</v>
      </c>
      <c r="B38" s="246"/>
      <c r="C38" s="246"/>
      <c r="D38" s="246" t="s">
        <v>2104</v>
      </c>
      <c r="E38" s="246"/>
      <c r="F38" s="246"/>
      <c r="G38" s="246" t="s">
        <v>2105</v>
      </c>
      <c r="H38" s="246"/>
      <c r="I38" s="246"/>
      <c r="J38" s="246" t="s">
        <v>973</v>
      </c>
      <c r="K38" s="246"/>
    </row>
    <row r="39" spans="1:11" ht="26" customHeight="1" x14ac:dyDescent="0.2">
      <c r="A39" s="235"/>
      <c r="B39" s="236"/>
      <c r="C39" s="236"/>
      <c r="D39" s="236"/>
      <c r="E39" s="236"/>
      <c r="F39" s="236"/>
      <c r="G39" s="236"/>
      <c r="H39" s="236"/>
      <c r="I39" s="236"/>
      <c r="J39" s="237"/>
      <c r="K39"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9:C39"/>
    <mergeCell ref="D39:F39"/>
    <mergeCell ref="G39:I39"/>
    <mergeCell ref="J39:K39"/>
    <mergeCell ref="A5:B5"/>
    <mergeCell ref="C5:D5"/>
    <mergeCell ref="E5:F5"/>
    <mergeCell ref="G5:H5"/>
    <mergeCell ref="J5:K5"/>
    <mergeCell ref="A6:B6"/>
    <mergeCell ref="J6:K6"/>
    <mergeCell ref="A37:K37"/>
    <mergeCell ref="A38:C38"/>
    <mergeCell ref="D38:F38"/>
    <mergeCell ref="G38:I38"/>
    <mergeCell ref="J38:K38"/>
  </mergeCells>
  <conditionalFormatting sqref="C8:F35">
    <cfRule type="containsText" dxfId="68" priority="3" operator="containsText" text="No">
      <formula>NOT(ISERROR(SEARCH("No",C8)))</formula>
    </cfRule>
  </conditionalFormatting>
  <conditionalFormatting sqref="G8:G35">
    <cfRule type="containsText" dxfId="67" priority="1" operator="containsText" text="Pass">
      <formula>NOT(ISERROR(SEARCH("Pass",G8)))</formula>
    </cfRule>
    <cfRule type="containsText" dxfId="66" priority="2" operator="containsText" text="Fail">
      <formula>NOT(ISERROR(SEARCH("Fail",G8)))</formula>
    </cfRule>
  </conditionalFormatting>
  <dataValidations count="3">
    <dataValidation type="list" allowBlank="1" showInputMessage="1" showErrorMessage="1" sqref="C8:C35 D8:D35 E8:E35 F8:F35" xr:uid="{45F7AE21-DFC1-F844-B27E-74B324FA4E82}">
      <formula1>"Yes,No,N/A"</formula1>
    </dataValidation>
    <dataValidation type="list" allowBlank="1" showInputMessage="1" showErrorMessage="1" sqref="G8:G35" xr:uid="{5FF8D202-FEBC-2D42-8913-2ED654D8863B}">
      <formula1>"Pass,Fail,N/A"</formula1>
    </dataValidation>
    <dataValidation type="list" allowBlank="1" showInputMessage="1" showErrorMessage="1" sqref="G5" xr:uid="{202E3145-450C-264D-AE8A-CB8916863692}">
      <formula1>"1 - Preparatory,2 - Work Readiness,3 - First Work Review,4 - Follow-Up"</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21606-DB97-994D-9EBC-8F7C3070A942}">
  <dimension ref="A1:K32"/>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2189</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2190</v>
      </c>
      <c r="H3" s="239"/>
      <c r="I3" s="217" t="s">
        <v>193</v>
      </c>
      <c r="J3" s="239" t="s">
        <v>2066</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2191</v>
      </c>
      <c r="B5" s="239"/>
      <c r="C5" s="240"/>
      <c r="D5" s="240"/>
      <c r="E5" s="240"/>
      <c r="F5" s="240"/>
      <c r="G5" s="240"/>
      <c r="H5" s="240"/>
      <c r="I5" s="216"/>
      <c r="J5" s="241"/>
      <c r="K5" s="240"/>
    </row>
    <row r="6" spans="1:11" ht="20" customHeight="1" x14ac:dyDescent="0.2">
      <c r="A6" s="242" t="s">
        <v>2073</v>
      </c>
      <c r="B6" s="242"/>
      <c r="C6" s="218" t="s">
        <v>2074</v>
      </c>
      <c r="D6" s="219">
        <f>COUNTA($B$8:$B$28)</f>
        <v>21</v>
      </c>
      <c r="E6" s="218" t="s">
        <v>188</v>
      </c>
      <c r="F6" s="219">
        <f>COUNTIF($G$8:$G$28,"Pass")</f>
        <v>0</v>
      </c>
      <c r="G6" s="218" t="s">
        <v>189</v>
      </c>
      <c r="H6" s="219">
        <f>COUNTIF($G$8:$G$28,"Fail")</f>
        <v>0</v>
      </c>
      <c r="I6" s="218" t="s">
        <v>132</v>
      </c>
      <c r="J6" s="243">
        <f>IF($D$6=0,0,($F$6+COUNTIF($G$8:$G$28,"N/A"))/$D$6)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2192</v>
      </c>
      <c r="C8" s="208"/>
      <c r="D8" s="208"/>
      <c r="E8" s="208"/>
      <c r="F8" s="208"/>
      <c r="G8" s="208"/>
      <c r="H8" s="209"/>
      <c r="I8" s="208"/>
      <c r="J8" s="208"/>
      <c r="K8" s="27"/>
    </row>
    <row r="9" spans="1:11" x14ac:dyDescent="0.2">
      <c r="A9" s="210">
        <v>2</v>
      </c>
      <c r="B9" s="36" t="s">
        <v>2193</v>
      </c>
      <c r="C9" s="106"/>
      <c r="D9" s="106"/>
      <c r="E9" s="106"/>
      <c r="F9" s="106"/>
      <c r="G9" s="106"/>
      <c r="H9" s="105"/>
      <c r="I9" s="106"/>
      <c r="J9" s="106"/>
      <c r="K9" s="28"/>
    </row>
    <row r="10" spans="1:11" x14ac:dyDescent="0.2">
      <c r="A10" s="210">
        <v>3</v>
      </c>
      <c r="B10" s="36" t="s">
        <v>2194</v>
      </c>
      <c r="C10" s="106"/>
      <c r="D10" s="106"/>
      <c r="E10" s="106"/>
      <c r="F10" s="106"/>
      <c r="G10" s="106"/>
      <c r="H10" s="105"/>
      <c r="I10" s="106"/>
      <c r="J10" s="106"/>
      <c r="K10" s="28"/>
    </row>
    <row r="11" spans="1:11" x14ac:dyDescent="0.2">
      <c r="A11" s="210">
        <v>4</v>
      </c>
      <c r="B11" s="36" t="s">
        <v>2195</v>
      </c>
      <c r="C11" s="106"/>
      <c r="D11" s="106"/>
      <c r="E11" s="106"/>
      <c r="F11" s="106"/>
      <c r="G11" s="106"/>
      <c r="H11" s="105"/>
      <c r="I11" s="106"/>
      <c r="J11" s="106"/>
      <c r="K11" s="28"/>
    </row>
    <row r="12" spans="1:11" x14ac:dyDescent="0.2">
      <c r="A12" s="210">
        <v>5</v>
      </c>
      <c r="B12" s="36" t="s">
        <v>2196</v>
      </c>
      <c r="C12" s="106"/>
      <c r="D12" s="106"/>
      <c r="E12" s="106"/>
      <c r="F12" s="106"/>
      <c r="G12" s="106"/>
      <c r="H12" s="105"/>
      <c r="I12" s="106"/>
      <c r="J12" s="106"/>
      <c r="K12" s="28"/>
    </row>
    <row r="13" spans="1:11" x14ac:dyDescent="0.2">
      <c r="A13" s="210">
        <v>6</v>
      </c>
      <c r="B13" s="36" t="s">
        <v>2197</v>
      </c>
      <c r="C13" s="106"/>
      <c r="D13" s="106"/>
      <c r="E13" s="106"/>
      <c r="F13" s="106"/>
      <c r="G13" s="106"/>
      <c r="H13" s="105"/>
      <c r="I13" s="106"/>
      <c r="J13" s="106"/>
      <c r="K13" s="28"/>
    </row>
    <row r="14" spans="1:11" x14ac:dyDescent="0.2">
      <c r="A14" s="210">
        <v>7</v>
      </c>
      <c r="B14" s="36" t="s">
        <v>2198</v>
      </c>
      <c r="C14" s="106"/>
      <c r="D14" s="106"/>
      <c r="E14" s="106"/>
      <c r="F14" s="106"/>
      <c r="G14" s="106"/>
      <c r="H14" s="105"/>
      <c r="I14" s="106"/>
      <c r="J14" s="106"/>
      <c r="K14" s="28"/>
    </row>
    <row r="15" spans="1:11" x14ac:dyDescent="0.2">
      <c r="A15" s="210">
        <v>8</v>
      </c>
      <c r="B15" s="36" t="s">
        <v>2199</v>
      </c>
      <c r="C15" s="106"/>
      <c r="D15" s="106"/>
      <c r="E15" s="106"/>
      <c r="F15" s="106"/>
      <c r="G15" s="106"/>
      <c r="H15" s="105"/>
      <c r="I15" s="106"/>
      <c r="J15" s="106"/>
      <c r="K15" s="28"/>
    </row>
    <row r="16" spans="1:11" x14ac:dyDescent="0.2">
      <c r="A16" s="210">
        <v>9</v>
      </c>
      <c r="B16" s="36" t="s">
        <v>2200</v>
      </c>
      <c r="C16" s="106"/>
      <c r="D16" s="106"/>
      <c r="E16" s="106"/>
      <c r="F16" s="106"/>
      <c r="G16" s="106"/>
      <c r="H16" s="105"/>
      <c r="I16" s="106"/>
      <c r="J16" s="106"/>
      <c r="K16" s="28"/>
    </row>
    <row r="17" spans="1:11" x14ac:dyDescent="0.2">
      <c r="A17" s="210">
        <v>10</v>
      </c>
      <c r="B17" s="36" t="s">
        <v>2201</v>
      </c>
      <c r="C17" s="106"/>
      <c r="D17" s="106"/>
      <c r="E17" s="106"/>
      <c r="F17" s="106"/>
      <c r="G17" s="106"/>
      <c r="H17" s="105"/>
      <c r="I17" s="106"/>
      <c r="J17" s="106"/>
      <c r="K17" s="28"/>
    </row>
    <row r="18" spans="1:11" x14ac:dyDescent="0.2">
      <c r="A18" s="210">
        <v>11</v>
      </c>
      <c r="B18" s="36" t="s">
        <v>2202</v>
      </c>
      <c r="C18" s="106"/>
      <c r="D18" s="106"/>
      <c r="E18" s="106"/>
      <c r="F18" s="106"/>
      <c r="G18" s="106"/>
      <c r="H18" s="105"/>
      <c r="I18" s="106"/>
      <c r="J18" s="106"/>
      <c r="K18" s="28"/>
    </row>
    <row r="19" spans="1:11" x14ac:dyDescent="0.2">
      <c r="A19" s="210">
        <v>12</v>
      </c>
      <c r="B19" s="36" t="s">
        <v>2203</v>
      </c>
      <c r="C19" s="106"/>
      <c r="D19" s="106"/>
      <c r="E19" s="106"/>
      <c r="F19" s="106"/>
      <c r="G19" s="106"/>
      <c r="H19" s="105"/>
      <c r="I19" s="106"/>
      <c r="J19" s="106"/>
      <c r="K19" s="28"/>
    </row>
    <row r="20" spans="1:11" x14ac:dyDescent="0.2">
      <c r="A20" s="210">
        <v>13</v>
      </c>
      <c r="B20" s="36" t="s">
        <v>2204</v>
      </c>
      <c r="C20" s="106"/>
      <c r="D20" s="106"/>
      <c r="E20" s="106"/>
      <c r="F20" s="106"/>
      <c r="G20" s="106"/>
      <c r="H20" s="105"/>
      <c r="I20" s="106"/>
      <c r="J20" s="106"/>
      <c r="K20" s="28"/>
    </row>
    <row r="21" spans="1:11" x14ac:dyDescent="0.2">
      <c r="A21" s="210">
        <v>14</v>
      </c>
      <c r="B21" s="36" t="s">
        <v>2205</v>
      </c>
      <c r="C21" s="106"/>
      <c r="D21" s="106"/>
      <c r="E21" s="106"/>
      <c r="F21" s="106"/>
      <c r="G21" s="106"/>
      <c r="H21" s="105"/>
      <c r="I21" s="106"/>
      <c r="J21" s="106"/>
      <c r="K21" s="28"/>
    </row>
    <row r="22" spans="1:11" x14ac:dyDescent="0.2">
      <c r="A22" s="210">
        <v>15</v>
      </c>
      <c r="B22" s="36" t="s">
        <v>2206</v>
      </c>
      <c r="C22" s="106"/>
      <c r="D22" s="106"/>
      <c r="E22" s="106"/>
      <c r="F22" s="106"/>
      <c r="G22" s="106"/>
      <c r="H22" s="105"/>
      <c r="I22" s="106"/>
      <c r="J22" s="106"/>
      <c r="K22" s="28"/>
    </row>
    <row r="23" spans="1:11" x14ac:dyDescent="0.2">
      <c r="A23" s="210">
        <v>16</v>
      </c>
      <c r="B23" s="36" t="s">
        <v>2207</v>
      </c>
      <c r="C23" s="106"/>
      <c r="D23" s="106"/>
      <c r="E23" s="106"/>
      <c r="F23" s="106"/>
      <c r="G23" s="106"/>
      <c r="H23" s="105"/>
      <c r="I23" s="106"/>
      <c r="J23" s="106"/>
      <c r="K23" s="28"/>
    </row>
    <row r="24" spans="1:11" x14ac:dyDescent="0.2">
      <c r="A24" s="210">
        <v>17</v>
      </c>
      <c r="B24" s="36" t="s">
        <v>2208</v>
      </c>
      <c r="C24" s="106"/>
      <c r="D24" s="106"/>
      <c r="E24" s="106"/>
      <c r="F24" s="106"/>
      <c r="G24" s="106"/>
      <c r="H24" s="105"/>
      <c r="I24" s="106"/>
      <c r="J24" s="106"/>
      <c r="K24" s="28"/>
    </row>
    <row r="25" spans="1:11" x14ac:dyDescent="0.2">
      <c r="A25" s="210">
        <v>18</v>
      </c>
      <c r="B25" s="36" t="s">
        <v>2209</v>
      </c>
      <c r="C25" s="106"/>
      <c r="D25" s="106"/>
      <c r="E25" s="106"/>
      <c r="F25" s="106"/>
      <c r="G25" s="106"/>
      <c r="H25" s="105"/>
      <c r="I25" s="106"/>
      <c r="J25" s="106"/>
      <c r="K25" s="28"/>
    </row>
    <row r="26" spans="1:11" x14ac:dyDescent="0.2">
      <c r="A26" s="210">
        <v>19</v>
      </c>
      <c r="B26" s="36" t="s">
        <v>2210</v>
      </c>
      <c r="C26" s="106"/>
      <c r="D26" s="106"/>
      <c r="E26" s="106"/>
      <c r="F26" s="106"/>
      <c r="G26" s="106"/>
      <c r="H26" s="105"/>
      <c r="I26" s="106"/>
      <c r="J26" s="106"/>
      <c r="K26" s="28"/>
    </row>
    <row r="27" spans="1:11" x14ac:dyDescent="0.2">
      <c r="A27" s="210">
        <v>20</v>
      </c>
      <c r="B27" s="36" t="s">
        <v>2211</v>
      </c>
      <c r="C27" s="106"/>
      <c r="D27" s="106"/>
      <c r="E27" s="106"/>
      <c r="F27" s="106"/>
      <c r="G27" s="106"/>
      <c r="H27" s="105"/>
      <c r="I27" s="106"/>
      <c r="J27" s="106"/>
      <c r="K27" s="28"/>
    </row>
    <row r="28" spans="1:11" x14ac:dyDescent="0.2">
      <c r="A28" s="211">
        <v>21</v>
      </c>
      <c r="B28" s="212" t="s">
        <v>2212</v>
      </c>
      <c r="C28" s="213"/>
      <c r="D28" s="213"/>
      <c r="E28" s="213"/>
      <c r="F28" s="213"/>
      <c r="G28" s="213"/>
      <c r="H28" s="214"/>
      <c r="I28" s="213"/>
      <c r="J28" s="213"/>
      <c r="K28" s="215"/>
    </row>
    <row r="29" spans="1:11" x14ac:dyDescent="0.2">
      <c r="A29" s="4"/>
      <c r="B29" s="4"/>
      <c r="C29" s="4"/>
      <c r="D29" s="4"/>
      <c r="E29" s="4"/>
      <c r="F29" s="4"/>
      <c r="G29" s="4"/>
      <c r="H29" s="4"/>
      <c r="I29" s="4"/>
      <c r="J29" s="4"/>
      <c r="K29" s="4"/>
    </row>
    <row r="30" spans="1:11" ht="20" customHeight="1" x14ac:dyDescent="0.2">
      <c r="A30" s="245" t="s">
        <v>2102</v>
      </c>
      <c r="B30" s="245"/>
      <c r="C30" s="245"/>
      <c r="D30" s="245"/>
      <c r="E30" s="245"/>
      <c r="F30" s="245"/>
      <c r="G30" s="245"/>
      <c r="H30" s="245"/>
      <c r="I30" s="245"/>
      <c r="J30" s="245"/>
      <c r="K30" s="245"/>
    </row>
    <row r="31" spans="1:11" x14ac:dyDescent="0.2">
      <c r="A31" s="246" t="s">
        <v>2103</v>
      </c>
      <c r="B31" s="246"/>
      <c r="C31" s="246"/>
      <c r="D31" s="246" t="s">
        <v>2104</v>
      </c>
      <c r="E31" s="246"/>
      <c r="F31" s="246"/>
      <c r="G31" s="246" t="s">
        <v>2105</v>
      </c>
      <c r="H31" s="246"/>
      <c r="I31" s="246"/>
      <c r="J31" s="246" t="s">
        <v>973</v>
      </c>
      <c r="K31" s="246"/>
    </row>
    <row r="32" spans="1:11" ht="26" customHeight="1" x14ac:dyDescent="0.2">
      <c r="A32" s="235"/>
      <c r="B32" s="236"/>
      <c r="C32" s="236"/>
      <c r="D32" s="236"/>
      <c r="E32" s="236"/>
      <c r="F32" s="236"/>
      <c r="G32" s="236"/>
      <c r="H32" s="236"/>
      <c r="I32" s="236"/>
      <c r="J32" s="237"/>
      <c r="K32"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2:C32"/>
    <mergeCell ref="D32:F32"/>
    <mergeCell ref="G32:I32"/>
    <mergeCell ref="J32:K32"/>
    <mergeCell ref="A5:B5"/>
    <mergeCell ref="C5:D5"/>
    <mergeCell ref="E5:F5"/>
    <mergeCell ref="G5:H5"/>
    <mergeCell ref="J5:K5"/>
    <mergeCell ref="A6:B6"/>
    <mergeCell ref="J6:K6"/>
    <mergeCell ref="A30:K30"/>
    <mergeCell ref="A31:C31"/>
    <mergeCell ref="D31:F31"/>
    <mergeCell ref="G31:I31"/>
    <mergeCell ref="J31:K31"/>
  </mergeCells>
  <conditionalFormatting sqref="C8:F28">
    <cfRule type="containsText" dxfId="65" priority="3" operator="containsText" text="No">
      <formula>NOT(ISERROR(SEARCH("No",C8)))</formula>
    </cfRule>
  </conditionalFormatting>
  <conditionalFormatting sqref="G8:G28">
    <cfRule type="containsText" dxfId="64" priority="1" operator="containsText" text="Pass">
      <formula>NOT(ISERROR(SEARCH("Pass",G8)))</formula>
    </cfRule>
    <cfRule type="containsText" dxfId="63" priority="2" operator="containsText" text="Fail">
      <formula>NOT(ISERROR(SEARCH("Fail",G8)))</formula>
    </cfRule>
  </conditionalFormatting>
  <dataValidations count="3">
    <dataValidation type="list" allowBlank="1" showInputMessage="1" showErrorMessage="1" sqref="C8:C28 D8:D28 E8:E28 F8:F28" xr:uid="{585A7ABB-90B3-3740-AFC4-96EBF0690BDC}">
      <formula1>"Yes,No,N/A"</formula1>
    </dataValidation>
    <dataValidation type="list" allowBlank="1" showInputMessage="1" showErrorMessage="1" sqref="G8:G28" xr:uid="{17F6FD67-D12D-4D46-96A8-5E718CD1B75E}">
      <formula1>"Pass,Fail,N/A"</formula1>
    </dataValidation>
    <dataValidation type="list" allowBlank="1" showInputMessage="1" showErrorMessage="1" sqref="G5" xr:uid="{145D4B70-C3E6-0B48-BCC3-54922CA5D4A8}">
      <formula1>"1 - Preparatory,2 - Work Readiness,3 - First Work Review,4 - Follow-Up"</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9981-7C12-A843-9304-AA5635412E35}">
  <dimension ref="A1:K42"/>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2213</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2214</v>
      </c>
      <c r="H3" s="239"/>
      <c r="I3" s="217" t="s">
        <v>198</v>
      </c>
      <c r="J3" s="239" t="s">
        <v>2215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2216</v>
      </c>
      <c r="B5" s="239"/>
      <c r="C5" s="240"/>
      <c r="D5" s="240"/>
      <c r="E5" s="240"/>
      <c r="F5" s="240"/>
      <c r="G5" s="240"/>
      <c r="H5" s="240"/>
      <c r="I5" s="216"/>
      <c r="J5" s="241"/>
      <c r="K5" s="240"/>
    </row>
    <row r="6" spans="1:11" ht="20" customHeight="1" x14ac:dyDescent="0.2">
      <c r="A6" s="242" t="s">
        <v>2073</v>
      </c>
      <c r="B6" s="242"/>
      <c r="C6" s="218" t="s">
        <v>2074</v>
      </c>
      <c r="D6" s="219">
        <f>COUNTA($B$8:$B$38)</f>
        <v>31</v>
      </c>
      <c r="E6" s="218" t="s">
        <v>188</v>
      </c>
      <c r="F6" s="219">
        <f>COUNTIF($G$8:$G$38,"Pass")</f>
        <v>0</v>
      </c>
      <c r="G6" s="218" t="s">
        <v>189</v>
      </c>
      <c r="H6" s="219">
        <f>COUNTIF($G$8:$G$38,"Fail")</f>
        <v>0</v>
      </c>
      <c r="I6" s="218" t="s">
        <v>132</v>
      </c>
      <c r="J6" s="243">
        <f>IF($D$6=0,0,($F$6+COUNTIF($G$8:$G$38,"N/A"))/$D$6)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2217</v>
      </c>
      <c r="C8" s="208"/>
      <c r="D8" s="208"/>
      <c r="E8" s="208"/>
      <c r="F8" s="208"/>
      <c r="G8" s="208"/>
      <c r="H8" s="209"/>
      <c r="I8" s="208"/>
      <c r="J8" s="208"/>
      <c r="K8" s="27"/>
    </row>
    <row r="9" spans="1:11" x14ac:dyDescent="0.2">
      <c r="A9" s="210">
        <v>2</v>
      </c>
      <c r="B9" s="36" t="s">
        <v>2218</v>
      </c>
      <c r="C9" s="106"/>
      <c r="D9" s="106"/>
      <c r="E9" s="106"/>
      <c r="F9" s="106"/>
      <c r="G9" s="106"/>
      <c r="H9" s="105"/>
      <c r="I9" s="106"/>
      <c r="J9" s="106"/>
      <c r="K9" s="28"/>
    </row>
    <row r="10" spans="1:11" x14ac:dyDescent="0.2">
      <c r="A10" s="210">
        <v>3</v>
      </c>
      <c r="B10" s="36" t="s">
        <v>2219</v>
      </c>
      <c r="C10" s="106"/>
      <c r="D10" s="106"/>
      <c r="E10" s="106"/>
      <c r="F10" s="106"/>
      <c r="G10" s="106"/>
      <c r="H10" s="105"/>
      <c r="I10" s="106"/>
      <c r="J10" s="106"/>
      <c r="K10" s="28"/>
    </row>
    <row r="11" spans="1:11" x14ac:dyDescent="0.2">
      <c r="A11" s="210">
        <v>4</v>
      </c>
      <c r="B11" s="36" t="s">
        <v>2220</v>
      </c>
      <c r="C11" s="106"/>
      <c r="D11" s="106"/>
      <c r="E11" s="106"/>
      <c r="F11" s="106"/>
      <c r="G11" s="106"/>
      <c r="H11" s="105"/>
      <c r="I11" s="106"/>
      <c r="J11" s="106"/>
      <c r="K11" s="28"/>
    </row>
    <row r="12" spans="1:11" x14ac:dyDescent="0.2">
      <c r="A12" s="210">
        <v>5</v>
      </c>
      <c r="B12" s="36" t="s">
        <v>2221</v>
      </c>
      <c r="C12" s="106"/>
      <c r="D12" s="106"/>
      <c r="E12" s="106"/>
      <c r="F12" s="106"/>
      <c r="G12" s="106"/>
      <c r="H12" s="105"/>
      <c r="I12" s="106"/>
      <c r="J12" s="106"/>
      <c r="K12" s="28"/>
    </row>
    <row r="13" spans="1:11" x14ac:dyDescent="0.2">
      <c r="A13" s="210">
        <v>6</v>
      </c>
      <c r="B13" s="36" t="s">
        <v>2222</v>
      </c>
      <c r="C13" s="106"/>
      <c r="D13" s="106"/>
      <c r="E13" s="106"/>
      <c r="F13" s="106"/>
      <c r="G13" s="106"/>
      <c r="H13" s="105"/>
      <c r="I13" s="106"/>
      <c r="J13" s="106"/>
      <c r="K13" s="28"/>
    </row>
    <row r="14" spans="1:11" x14ac:dyDescent="0.2">
      <c r="A14" s="210">
        <v>7</v>
      </c>
      <c r="B14" s="36" t="s">
        <v>2223</v>
      </c>
      <c r="C14" s="106"/>
      <c r="D14" s="106"/>
      <c r="E14" s="106"/>
      <c r="F14" s="106"/>
      <c r="G14" s="106"/>
      <c r="H14" s="105"/>
      <c r="I14" s="106"/>
      <c r="J14" s="106"/>
      <c r="K14" s="28"/>
    </row>
    <row r="15" spans="1:11" x14ac:dyDescent="0.2">
      <c r="A15" s="210">
        <v>8</v>
      </c>
      <c r="B15" s="36" t="s">
        <v>2224</v>
      </c>
      <c r="C15" s="106"/>
      <c r="D15" s="106"/>
      <c r="E15" s="106"/>
      <c r="F15" s="106"/>
      <c r="G15" s="106"/>
      <c r="H15" s="105"/>
      <c r="I15" s="106"/>
      <c r="J15" s="106"/>
      <c r="K15" s="28"/>
    </row>
    <row r="16" spans="1:11" x14ac:dyDescent="0.2">
      <c r="A16" s="210">
        <v>9</v>
      </c>
      <c r="B16" s="36" t="s">
        <v>2225</v>
      </c>
      <c r="C16" s="106"/>
      <c r="D16" s="106"/>
      <c r="E16" s="106"/>
      <c r="F16" s="106"/>
      <c r="G16" s="106"/>
      <c r="H16" s="105"/>
      <c r="I16" s="106"/>
      <c r="J16" s="106"/>
      <c r="K16" s="28"/>
    </row>
    <row r="17" spans="1:11" x14ac:dyDescent="0.2">
      <c r="A17" s="210">
        <v>10</v>
      </c>
      <c r="B17" s="36" t="s">
        <v>2226</v>
      </c>
      <c r="C17" s="106"/>
      <c r="D17" s="106"/>
      <c r="E17" s="106"/>
      <c r="F17" s="106"/>
      <c r="G17" s="106"/>
      <c r="H17" s="105"/>
      <c r="I17" s="106"/>
      <c r="J17" s="106"/>
      <c r="K17" s="28"/>
    </row>
    <row r="18" spans="1:11" x14ac:dyDescent="0.2">
      <c r="A18" s="210">
        <v>11</v>
      </c>
      <c r="B18" s="36" t="s">
        <v>2227</v>
      </c>
      <c r="C18" s="106"/>
      <c r="D18" s="106"/>
      <c r="E18" s="106"/>
      <c r="F18" s="106"/>
      <c r="G18" s="106"/>
      <c r="H18" s="105"/>
      <c r="I18" s="106"/>
      <c r="J18" s="106"/>
      <c r="K18" s="28"/>
    </row>
    <row r="19" spans="1:11" x14ac:dyDescent="0.2">
      <c r="A19" s="210">
        <v>12</v>
      </c>
      <c r="B19" s="36" t="s">
        <v>2228</v>
      </c>
      <c r="C19" s="106"/>
      <c r="D19" s="106"/>
      <c r="E19" s="106"/>
      <c r="F19" s="106"/>
      <c r="G19" s="106"/>
      <c r="H19" s="105"/>
      <c r="I19" s="106"/>
      <c r="J19" s="106"/>
      <c r="K19" s="28"/>
    </row>
    <row r="20" spans="1:11" x14ac:dyDescent="0.2">
      <c r="A20" s="210">
        <v>13</v>
      </c>
      <c r="B20" s="36" t="s">
        <v>2229</v>
      </c>
      <c r="C20" s="106"/>
      <c r="D20" s="106"/>
      <c r="E20" s="106"/>
      <c r="F20" s="106"/>
      <c r="G20" s="106"/>
      <c r="H20" s="105"/>
      <c r="I20" s="106"/>
      <c r="J20" s="106"/>
      <c r="K20" s="28"/>
    </row>
    <row r="21" spans="1:11" x14ac:dyDescent="0.2">
      <c r="A21" s="210">
        <v>14</v>
      </c>
      <c r="B21" s="36" t="s">
        <v>2230</v>
      </c>
      <c r="C21" s="106"/>
      <c r="D21" s="106"/>
      <c r="E21" s="106"/>
      <c r="F21" s="106"/>
      <c r="G21" s="106"/>
      <c r="H21" s="105"/>
      <c r="I21" s="106"/>
      <c r="J21" s="106"/>
      <c r="K21" s="28"/>
    </row>
    <row r="22" spans="1:11" x14ac:dyDescent="0.2">
      <c r="A22" s="210">
        <v>15</v>
      </c>
      <c r="B22" s="36" t="s">
        <v>2231</v>
      </c>
      <c r="C22" s="106"/>
      <c r="D22" s="106"/>
      <c r="E22" s="106"/>
      <c r="F22" s="106"/>
      <c r="G22" s="106"/>
      <c r="H22" s="105"/>
      <c r="I22" s="106"/>
      <c r="J22" s="106"/>
      <c r="K22" s="28"/>
    </row>
    <row r="23" spans="1:11" x14ac:dyDescent="0.2">
      <c r="A23" s="210">
        <v>16</v>
      </c>
      <c r="B23" s="36" t="s">
        <v>2232</v>
      </c>
      <c r="C23" s="106"/>
      <c r="D23" s="106"/>
      <c r="E23" s="106"/>
      <c r="F23" s="106"/>
      <c r="G23" s="106"/>
      <c r="H23" s="105"/>
      <c r="I23" s="106"/>
      <c r="J23" s="106"/>
      <c r="K23" s="28"/>
    </row>
    <row r="24" spans="1:11" x14ac:dyDescent="0.2">
      <c r="A24" s="210">
        <v>17</v>
      </c>
      <c r="B24" s="36" t="s">
        <v>2233</v>
      </c>
      <c r="C24" s="106"/>
      <c r="D24" s="106"/>
      <c r="E24" s="106"/>
      <c r="F24" s="106"/>
      <c r="G24" s="106"/>
      <c r="H24" s="105"/>
      <c r="I24" s="106"/>
      <c r="J24" s="106"/>
      <c r="K24" s="28"/>
    </row>
    <row r="25" spans="1:11" x14ac:dyDescent="0.2">
      <c r="A25" s="210">
        <v>18</v>
      </c>
      <c r="B25" s="36" t="s">
        <v>2234</v>
      </c>
      <c r="C25" s="106"/>
      <c r="D25" s="106"/>
      <c r="E25" s="106"/>
      <c r="F25" s="106"/>
      <c r="G25" s="106"/>
      <c r="H25" s="105"/>
      <c r="I25" s="106"/>
      <c r="J25" s="106"/>
      <c r="K25" s="28"/>
    </row>
    <row r="26" spans="1:11" x14ac:dyDescent="0.2">
      <c r="A26" s="210">
        <v>19</v>
      </c>
      <c r="B26" s="36" t="s">
        <v>2235</v>
      </c>
      <c r="C26" s="106"/>
      <c r="D26" s="106"/>
      <c r="E26" s="106"/>
      <c r="F26" s="106"/>
      <c r="G26" s="106"/>
      <c r="H26" s="105"/>
      <c r="I26" s="106"/>
      <c r="J26" s="106"/>
      <c r="K26" s="28"/>
    </row>
    <row r="27" spans="1:11" x14ac:dyDescent="0.2">
      <c r="A27" s="210">
        <v>20</v>
      </c>
      <c r="B27" s="36" t="s">
        <v>2236</v>
      </c>
      <c r="C27" s="106"/>
      <c r="D27" s="106"/>
      <c r="E27" s="106"/>
      <c r="F27" s="106"/>
      <c r="G27" s="106"/>
      <c r="H27" s="105"/>
      <c r="I27" s="106"/>
      <c r="J27" s="106"/>
      <c r="K27" s="28"/>
    </row>
    <row r="28" spans="1:11" x14ac:dyDescent="0.2">
      <c r="A28" s="210">
        <v>21</v>
      </c>
      <c r="B28" s="36" t="s">
        <v>2237</v>
      </c>
      <c r="C28" s="106"/>
      <c r="D28" s="106"/>
      <c r="E28" s="106"/>
      <c r="F28" s="106"/>
      <c r="G28" s="106"/>
      <c r="H28" s="105"/>
      <c r="I28" s="106"/>
      <c r="J28" s="106"/>
      <c r="K28" s="28"/>
    </row>
    <row r="29" spans="1:11" x14ac:dyDescent="0.2">
      <c r="A29" s="210">
        <v>22</v>
      </c>
      <c r="B29" s="36" t="s">
        <v>2238</v>
      </c>
      <c r="C29" s="106"/>
      <c r="D29" s="106"/>
      <c r="E29" s="106"/>
      <c r="F29" s="106"/>
      <c r="G29" s="106"/>
      <c r="H29" s="105"/>
      <c r="I29" s="106"/>
      <c r="J29" s="106"/>
      <c r="K29" s="28"/>
    </row>
    <row r="30" spans="1:11" x14ac:dyDescent="0.2">
      <c r="A30" s="210">
        <v>23</v>
      </c>
      <c r="B30" s="36" t="s">
        <v>2239</v>
      </c>
      <c r="C30" s="106"/>
      <c r="D30" s="106"/>
      <c r="E30" s="106"/>
      <c r="F30" s="106"/>
      <c r="G30" s="106"/>
      <c r="H30" s="105"/>
      <c r="I30" s="106"/>
      <c r="J30" s="106"/>
      <c r="K30" s="28"/>
    </row>
    <row r="31" spans="1:11" x14ac:dyDescent="0.2">
      <c r="A31" s="210">
        <v>24</v>
      </c>
      <c r="B31" s="36" t="s">
        <v>2240</v>
      </c>
      <c r="C31" s="106"/>
      <c r="D31" s="106"/>
      <c r="E31" s="106"/>
      <c r="F31" s="106"/>
      <c r="G31" s="106"/>
      <c r="H31" s="105"/>
      <c r="I31" s="106"/>
      <c r="J31" s="106"/>
      <c r="K31" s="28"/>
    </row>
    <row r="32" spans="1:11" x14ac:dyDescent="0.2">
      <c r="A32" s="210">
        <v>25</v>
      </c>
      <c r="B32" s="36" t="s">
        <v>2241</v>
      </c>
      <c r="C32" s="106"/>
      <c r="D32" s="106"/>
      <c r="E32" s="106"/>
      <c r="F32" s="106"/>
      <c r="G32" s="106"/>
      <c r="H32" s="105"/>
      <c r="I32" s="106"/>
      <c r="J32" s="106"/>
      <c r="K32" s="28"/>
    </row>
    <row r="33" spans="1:11" x14ac:dyDescent="0.2">
      <c r="A33" s="210">
        <v>26</v>
      </c>
      <c r="B33" s="36" t="s">
        <v>2242</v>
      </c>
      <c r="C33" s="106"/>
      <c r="D33" s="106"/>
      <c r="E33" s="106"/>
      <c r="F33" s="106"/>
      <c r="G33" s="106"/>
      <c r="H33" s="105"/>
      <c r="I33" s="106"/>
      <c r="J33" s="106"/>
      <c r="K33" s="28"/>
    </row>
    <row r="34" spans="1:11" x14ac:dyDescent="0.2">
      <c r="A34" s="210">
        <v>27</v>
      </c>
      <c r="B34" s="36" t="s">
        <v>2243</v>
      </c>
      <c r="C34" s="106"/>
      <c r="D34" s="106"/>
      <c r="E34" s="106"/>
      <c r="F34" s="106"/>
      <c r="G34" s="106"/>
      <c r="H34" s="105"/>
      <c r="I34" s="106"/>
      <c r="J34" s="106"/>
      <c r="K34" s="28"/>
    </row>
    <row r="35" spans="1:11" x14ac:dyDescent="0.2">
      <c r="A35" s="210">
        <v>28</v>
      </c>
      <c r="B35" s="36" t="s">
        <v>2244</v>
      </c>
      <c r="C35" s="106"/>
      <c r="D35" s="106"/>
      <c r="E35" s="106"/>
      <c r="F35" s="106"/>
      <c r="G35" s="106"/>
      <c r="H35" s="105"/>
      <c r="I35" s="106"/>
      <c r="J35" s="106"/>
      <c r="K35" s="28"/>
    </row>
    <row r="36" spans="1:11" x14ac:dyDescent="0.2">
      <c r="A36" s="210">
        <v>29</v>
      </c>
      <c r="B36" s="36" t="s">
        <v>2245</v>
      </c>
      <c r="C36" s="106"/>
      <c r="D36" s="106"/>
      <c r="E36" s="106"/>
      <c r="F36" s="106"/>
      <c r="G36" s="106"/>
      <c r="H36" s="105"/>
      <c r="I36" s="106"/>
      <c r="J36" s="106"/>
      <c r="K36" s="28"/>
    </row>
    <row r="37" spans="1:11" x14ac:dyDescent="0.2">
      <c r="A37" s="210">
        <v>30</v>
      </c>
      <c r="B37" s="36" t="s">
        <v>2246</v>
      </c>
      <c r="C37" s="106"/>
      <c r="D37" s="106"/>
      <c r="E37" s="106"/>
      <c r="F37" s="106"/>
      <c r="G37" s="106"/>
      <c r="H37" s="105"/>
      <c r="I37" s="106"/>
      <c r="J37" s="106"/>
      <c r="K37" s="28"/>
    </row>
    <row r="38" spans="1:11" x14ac:dyDescent="0.2">
      <c r="A38" s="211">
        <v>31</v>
      </c>
      <c r="B38" s="212" t="s">
        <v>2247</v>
      </c>
      <c r="C38" s="213"/>
      <c r="D38" s="213"/>
      <c r="E38" s="213"/>
      <c r="F38" s="213"/>
      <c r="G38" s="213"/>
      <c r="H38" s="214"/>
      <c r="I38" s="213"/>
      <c r="J38" s="213"/>
      <c r="K38" s="215"/>
    </row>
    <row r="39" spans="1:11" x14ac:dyDescent="0.2">
      <c r="A39" s="4"/>
      <c r="B39" s="4"/>
      <c r="C39" s="4"/>
      <c r="D39" s="4"/>
      <c r="E39" s="4"/>
      <c r="F39" s="4"/>
      <c r="G39" s="4"/>
      <c r="H39" s="4"/>
      <c r="I39" s="4"/>
      <c r="J39" s="4"/>
      <c r="K39" s="4"/>
    </row>
    <row r="40" spans="1:11" ht="20" customHeight="1" x14ac:dyDescent="0.2">
      <c r="A40" s="245" t="s">
        <v>2102</v>
      </c>
      <c r="B40" s="245"/>
      <c r="C40" s="245"/>
      <c r="D40" s="245"/>
      <c r="E40" s="245"/>
      <c r="F40" s="245"/>
      <c r="G40" s="245"/>
      <c r="H40" s="245"/>
      <c r="I40" s="245"/>
      <c r="J40" s="245"/>
      <c r="K40" s="245"/>
    </row>
    <row r="41" spans="1:11" x14ac:dyDescent="0.2">
      <c r="A41" s="246" t="s">
        <v>2103</v>
      </c>
      <c r="B41" s="246"/>
      <c r="C41" s="246"/>
      <c r="D41" s="246" t="s">
        <v>2104</v>
      </c>
      <c r="E41" s="246"/>
      <c r="F41" s="246"/>
      <c r="G41" s="246" t="s">
        <v>2105</v>
      </c>
      <c r="H41" s="246"/>
      <c r="I41" s="246"/>
      <c r="J41" s="246" t="s">
        <v>973</v>
      </c>
      <c r="K41" s="246"/>
    </row>
    <row r="42" spans="1:11" ht="26" customHeight="1" x14ac:dyDescent="0.2">
      <c r="A42" s="235"/>
      <c r="B42" s="236"/>
      <c r="C42" s="236"/>
      <c r="D42" s="236"/>
      <c r="E42" s="236"/>
      <c r="F42" s="236"/>
      <c r="G42" s="236"/>
      <c r="H42" s="236"/>
      <c r="I42" s="236"/>
      <c r="J42" s="237"/>
      <c r="K42"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42:C42"/>
    <mergeCell ref="D42:F42"/>
    <mergeCell ref="G42:I42"/>
    <mergeCell ref="J42:K42"/>
    <mergeCell ref="A5:B5"/>
    <mergeCell ref="C5:D5"/>
    <mergeCell ref="E5:F5"/>
    <mergeCell ref="G5:H5"/>
    <mergeCell ref="J5:K5"/>
    <mergeCell ref="A6:B6"/>
    <mergeCell ref="J6:K6"/>
    <mergeCell ref="A40:K40"/>
    <mergeCell ref="A41:C41"/>
    <mergeCell ref="D41:F41"/>
    <mergeCell ref="G41:I41"/>
    <mergeCell ref="J41:K41"/>
  </mergeCells>
  <conditionalFormatting sqref="C8:F38">
    <cfRule type="containsText" dxfId="62" priority="3" operator="containsText" text="No">
      <formula>NOT(ISERROR(SEARCH("No",C8)))</formula>
    </cfRule>
  </conditionalFormatting>
  <conditionalFormatting sqref="G8:G38">
    <cfRule type="containsText" dxfId="61" priority="1" operator="containsText" text="Pass">
      <formula>NOT(ISERROR(SEARCH("Pass",G8)))</formula>
    </cfRule>
    <cfRule type="containsText" dxfId="60" priority="2" operator="containsText" text="Fail">
      <formula>NOT(ISERROR(SEARCH("Fail",G8)))</formula>
    </cfRule>
  </conditionalFormatting>
  <dataValidations count="3">
    <dataValidation type="list" allowBlank="1" showInputMessage="1" showErrorMessage="1" sqref="C8:C38 D8:D38 E8:E38 F8:F38" xr:uid="{CBB560DD-4089-7744-BAF4-4B9943CEA7F1}">
      <formula1>"Yes,No,N/A"</formula1>
    </dataValidation>
    <dataValidation type="list" allowBlank="1" showInputMessage="1" showErrorMessage="1" sqref="G8:G38" xr:uid="{7EC37C39-2936-BC43-9DED-CB0B5BF8C435}">
      <formula1>"Pass,Fail,N/A"</formula1>
    </dataValidation>
    <dataValidation type="list" allowBlank="1" showInputMessage="1" showErrorMessage="1" sqref="G5" xr:uid="{E197F7D2-277D-5A43-AA0B-474677C6C248}">
      <formula1>"1 - Preparatory,2 - Work Readiness,3 - First Work Review,4 - Follow-Up"</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79DED-CFD6-FB48-968B-0E9342146B2E}">
  <dimension ref="A1:K41"/>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2248</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2249</v>
      </c>
      <c r="H3" s="239"/>
      <c r="I3" s="217" t="s">
        <v>200</v>
      </c>
      <c r="J3" s="239" t="s">
        <v>2215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2191</v>
      </c>
      <c r="B5" s="239"/>
      <c r="C5" s="240"/>
      <c r="D5" s="240"/>
      <c r="E5" s="240"/>
      <c r="F5" s="240"/>
      <c r="G5" s="240"/>
      <c r="H5" s="240"/>
      <c r="I5" s="216"/>
      <c r="J5" s="241"/>
      <c r="K5" s="240"/>
    </row>
    <row r="6" spans="1:11" ht="20" customHeight="1" x14ac:dyDescent="0.2">
      <c r="A6" s="242" t="s">
        <v>2073</v>
      </c>
      <c r="B6" s="242"/>
      <c r="C6" s="218" t="s">
        <v>2074</v>
      </c>
      <c r="D6" s="219">
        <f>COUNTA($B$8:$B$37)</f>
        <v>30</v>
      </c>
      <c r="E6" s="218" t="s">
        <v>188</v>
      </c>
      <c r="F6" s="219">
        <f>COUNTIF($G$8:$G$37,"Pass")</f>
        <v>0</v>
      </c>
      <c r="G6" s="218" t="s">
        <v>189</v>
      </c>
      <c r="H6" s="219">
        <f>COUNTIF($G$8:$G$37,"Fail")</f>
        <v>0</v>
      </c>
      <c r="I6" s="218" t="s">
        <v>132</v>
      </c>
      <c r="J6" s="243">
        <f>IF($D$6=0,0,($F$6+COUNTIF($G$8:$G$37,"N/A"))/$D$6)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2250</v>
      </c>
      <c r="C8" s="208"/>
      <c r="D8" s="208"/>
      <c r="E8" s="208"/>
      <c r="F8" s="208"/>
      <c r="G8" s="208"/>
      <c r="H8" s="209"/>
      <c r="I8" s="208"/>
      <c r="J8" s="208"/>
      <c r="K8" s="27"/>
    </row>
    <row r="9" spans="1:11" x14ac:dyDescent="0.2">
      <c r="A9" s="210">
        <v>2</v>
      </c>
      <c r="B9" s="36" t="s">
        <v>2251</v>
      </c>
      <c r="C9" s="106"/>
      <c r="D9" s="106"/>
      <c r="E9" s="106"/>
      <c r="F9" s="106"/>
      <c r="G9" s="106"/>
      <c r="H9" s="105"/>
      <c r="I9" s="106"/>
      <c r="J9" s="106"/>
      <c r="K9" s="28"/>
    </row>
    <row r="10" spans="1:11" x14ac:dyDescent="0.2">
      <c r="A10" s="210">
        <v>3</v>
      </c>
      <c r="B10" s="36" t="s">
        <v>2252</v>
      </c>
      <c r="C10" s="106"/>
      <c r="D10" s="106"/>
      <c r="E10" s="106"/>
      <c r="F10" s="106"/>
      <c r="G10" s="106"/>
      <c r="H10" s="105"/>
      <c r="I10" s="106"/>
      <c r="J10" s="106"/>
      <c r="K10" s="28"/>
    </row>
    <row r="11" spans="1:11" x14ac:dyDescent="0.2">
      <c r="A11" s="210">
        <v>4</v>
      </c>
      <c r="B11" s="36" t="s">
        <v>2253</v>
      </c>
      <c r="C11" s="106"/>
      <c r="D11" s="106"/>
      <c r="E11" s="106"/>
      <c r="F11" s="106"/>
      <c r="G11" s="106"/>
      <c r="H11" s="105"/>
      <c r="I11" s="106"/>
      <c r="J11" s="106"/>
      <c r="K11" s="28"/>
    </row>
    <row r="12" spans="1:11" x14ac:dyDescent="0.2">
      <c r="A12" s="210">
        <v>5</v>
      </c>
      <c r="B12" s="36" t="s">
        <v>2254</v>
      </c>
      <c r="C12" s="106"/>
      <c r="D12" s="106"/>
      <c r="E12" s="106"/>
      <c r="F12" s="106"/>
      <c r="G12" s="106"/>
      <c r="H12" s="105"/>
      <c r="I12" s="106"/>
      <c r="J12" s="106"/>
      <c r="K12" s="28"/>
    </row>
    <row r="13" spans="1:11" x14ac:dyDescent="0.2">
      <c r="A13" s="210">
        <v>6</v>
      </c>
      <c r="B13" s="36" t="s">
        <v>2255</v>
      </c>
      <c r="C13" s="106"/>
      <c r="D13" s="106"/>
      <c r="E13" s="106"/>
      <c r="F13" s="106"/>
      <c r="G13" s="106"/>
      <c r="H13" s="105"/>
      <c r="I13" s="106"/>
      <c r="J13" s="106"/>
      <c r="K13" s="28"/>
    </row>
    <row r="14" spans="1:11" x14ac:dyDescent="0.2">
      <c r="A14" s="210">
        <v>7</v>
      </c>
      <c r="B14" s="36" t="s">
        <v>2256</v>
      </c>
      <c r="C14" s="106"/>
      <c r="D14" s="106"/>
      <c r="E14" s="106"/>
      <c r="F14" s="106"/>
      <c r="G14" s="106"/>
      <c r="H14" s="105"/>
      <c r="I14" s="106"/>
      <c r="J14" s="106"/>
      <c r="K14" s="28"/>
    </row>
    <row r="15" spans="1:11" x14ac:dyDescent="0.2">
      <c r="A15" s="210">
        <v>8</v>
      </c>
      <c r="B15" s="36" t="s">
        <v>2257</v>
      </c>
      <c r="C15" s="106"/>
      <c r="D15" s="106"/>
      <c r="E15" s="106"/>
      <c r="F15" s="106"/>
      <c r="G15" s="106"/>
      <c r="H15" s="105"/>
      <c r="I15" s="106"/>
      <c r="J15" s="106"/>
      <c r="K15" s="28"/>
    </row>
    <row r="16" spans="1:11" x14ac:dyDescent="0.2">
      <c r="A16" s="210">
        <v>9</v>
      </c>
      <c r="B16" s="36" t="s">
        <v>2258</v>
      </c>
      <c r="C16" s="106"/>
      <c r="D16" s="106"/>
      <c r="E16" s="106"/>
      <c r="F16" s="106"/>
      <c r="G16" s="106"/>
      <c r="H16" s="105"/>
      <c r="I16" s="106"/>
      <c r="J16" s="106"/>
      <c r="K16" s="28"/>
    </row>
    <row r="17" spans="1:11" x14ac:dyDescent="0.2">
      <c r="A17" s="210">
        <v>10</v>
      </c>
      <c r="B17" s="36" t="s">
        <v>2259</v>
      </c>
      <c r="C17" s="106"/>
      <c r="D17" s="106"/>
      <c r="E17" s="106"/>
      <c r="F17" s="106"/>
      <c r="G17" s="106"/>
      <c r="H17" s="105"/>
      <c r="I17" s="106"/>
      <c r="J17" s="106"/>
      <c r="K17" s="28"/>
    </row>
    <row r="18" spans="1:11" x14ac:dyDescent="0.2">
      <c r="A18" s="210">
        <v>11</v>
      </c>
      <c r="B18" s="36" t="s">
        <v>2260</v>
      </c>
      <c r="C18" s="106"/>
      <c r="D18" s="106"/>
      <c r="E18" s="106"/>
      <c r="F18" s="106"/>
      <c r="G18" s="106"/>
      <c r="H18" s="105"/>
      <c r="I18" s="106"/>
      <c r="J18" s="106"/>
      <c r="K18" s="28"/>
    </row>
    <row r="19" spans="1:11" x14ac:dyDescent="0.2">
      <c r="A19" s="210">
        <v>12</v>
      </c>
      <c r="B19" s="36" t="s">
        <v>2261</v>
      </c>
      <c r="C19" s="106"/>
      <c r="D19" s="106"/>
      <c r="E19" s="106"/>
      <c r="F19" s="106"/>
      <c r="G19" s="106"/>
      <c r="H19" s="105"/>
      <c r="I19" s="106"/>
      <c r="J19" s="106"/>
      <c r="K19" s="28"/>
    </row>
    <row r="20" spans="1:11" x14ac:dyDescent="0.2">
      <c r="A20" s="210">
        <v>13</v>
      </c>
      <c r="B20" s="36" t="s">
        <v>2262</v>
      </c>
      <c r="C20" s="106"/>
      <c r="D20" s="106"/>
      <c r="E20" s="106"/>
      <c r="F20" s="106"/>
      <c r="G20" s="106"/>
      <c r="H20" s="105"/>
      <c r="I20" s="106"/>
      <c r="J20" s="106"/>
      <c r="K20" s="28"/>
    </row>
    <row r="21" spans="1:11" x14ac:dyDescent="0.2">
      <c r="A21" s="210">
        <v>14</v>
      </c>
      <c r="B21" s="36" t="s">
        <v>2263</v>
      </c>
      <c r="C21" s="106"/>
      <c r="D21" s="106"/>
      <c r="E21" s="106"/>
      <c r="F21" s="106"/>
      <c r="G21" s="106"/>
      <c r="H21" s="105"/>
      <c r="I21" s="106"/>
      <c r="J21" s="106"/>
      <c r="K21" s="28"/>
    </row>
    <row r="22" spans="1:11" x14ac:dyDescent="0.2">
      <c r="A22" s="210">
        <v>15</v>
      </c>
      <c r="B22" s="36" t="s">
        <v>2264</v>
      </c>
      <c r="C22" s="106"/>
      <c r="D22" s="106"/>
      <c r="E22" s="106"/>
      <c r="F22" s="106"/>
      <c r="G22" s="106"/>
      <c r="H22" s="105"/>
      <c r="I22" s="106"/>
      <c r="J22" s="106"/>
      <c r="K22" s="28"/>
    </row>
    <row r="23" spans="1:11" x14ac:dyDescent="0.2">
      <c r="A23" s="210">
        <v>16</v>
      </c>
      <c r="B23" s="36" t="s">
        <v>2265</v>
      </c>
      <c r="C23" s="106"/>
      <c r="D23" s="106"/>
      <c r="E23" s="106"/>
      <c r="F23" s="106"/>
      <c r="G23" s="106"/>
      <c r="H23" s="105"/>
      <c r="I23" s="106"/>
      <c r="J23" s="106"/>
      <c r="K23" s="28"/>
    </row>
    <row r="24" spans="1:11" x14ac:dyDescent="0.2">
      <c r="A24" s="210">
        <v>17</v>
      </c>
      <c r="B24" s="36" t="s">
        <v>2266</v>
      </c>
      <c r="C24" s="106"/>
      <c r="D24" s="106"/>
      <c r="E24" s="106"/>
      <c r="F24" s="106"/>
      <c r="G24" s="106"/>
      <c r="H24" s="105"/>
      <c r="I24" s="106"/>
      <c r="J24" s="106"/>
      <c r="K24" s="28"/>
    </row>
    <row r="25" spans="1:11" x14ac:dyDescent="0.2">
      <c r="A25" s="210">
        <v>18</v>
      </c>
      <c r="B25" s="36" t="s">
        <v>2267</v>
      </c>
      <c r="C25" s="106"/>
      <c r="D25" s="106"/>
      <c r="E25" s="106"/>
      <c r="F25" s="106"/>
      <c r="G25" s="106"/>
      <c r="H25" s="105"/>
      <c r="I25" s="106"/>
      <c r="J25" s="106"/>
      <c r="K25" s="28"/>
    </row>
    <row r="26" spans="1:11" x14ac:dyDescent="0.2">
      <c r="A26" s="210">
        <v>19</v>
      </c>
      <c r="B26" s="36" t="s">
        <v>2268</v>
      </c>
      <c r="C26" s="106"/>
      <c r="D26" s="106"/>
      <c r="E26" s="106"/>
      <c r="F26" s="106"/>
      <c r="G26" s="106"/>
      <c r="H26" s="105"/>
      <c r="I26" s="106"/>
      <c r="J26" s="106"/>
      <c r="K26" s="28"/>
    </row>
    <row r="27" spans="1:11" x14ac:dyDescent="0.2">
      <c r="A27" s="210">
        <v>20</v>
      </c>
      <c r="B27" s="36" t="s">
        <v>2269</v>
      </c>
      <c r="C27" s="106"/>
      <c r="D27" s="106"/>
      <c r="E27" s="106"/>
      <c r="F27" s="106"/>
      <c r="G27" s="106"/>
      <c r="H27" s="105"/>
      <c r="I27" s="106"/>
      <c r="J27" s="106"/>
      <c r="K27" s="28"/>
    </row>
    <row r="28" spans="1:11" x14ac:dyDescent="0.2">
      <c r="A28" s="210">
        <v>21</v>
      </c>
      <c r="B28" s="36" t="s">
        <v>2270</v>
      </c>
      <c r="C28" s="106"/>
      <c r="D28" s="106"/>
      <c r="E28" s="106"/>
      <c r="F28" s="106"/>
      <c r="G28" s="106"/>
      <c r="H28" s="105"/>
      <c r="I28" s="106"/>
      <c r="J28" s="106"/>
      <c r="K28" s="28"/>
    </row>
    <row r="29" spans="1:11" x14ac:dyDescent="0.2">
      <c r="A29" s="210">
        <v>22</v>
      </c>
      <c r="B29" s="36" t="s">
        <v>2271</v>
      </c>
      <c r="C29" s="106"/>
      <c r="D29" s="106"/>
      <c r="E29" s="106"/>
      <c r="F29" s="106"/>
      <c r="G29" s="106"/>
      <c r="H29" s="105"/>
      <c r="I29" s="106"/>
      <c r="J29" s="106"/>
      <c r="K29" s="28"/>
    </row>
    <row r="30" spans="1:11" x14ac:dyDescent="0.2">
      <c r="A30" s="210">
        <v>23</v>
      </c>
      <c r="B30" s="36" t="s">
        <v>2272</v>
      </c>
      <c r="C30" s="106"/>
      <c r="D30" s="106"/>
      <c r="E30" s="106"/>
      <c r="F30" s="106"/>
      <c r="G30" s="106"/>
      <c r="H30" s="105"/>
      <c r="I30" s="106"/>
      <c r="J30" s="106"/>
      <c r="K30" s="28"/>
    </row>
    <row r="31" spans="1:11" x14ac:dyDescent="0.2">
      <c r="A31" s="210">
        <v>24</v>
      </c>
      <c r="B31" s="36" t="s">
        <v>2273</v>
      </c>
      <c r="C31" s="106"/>
      <c r="D31" s="106"/>
      <c r="E31" s="106"/>
      <c r="F31" s="106"/>
      <c r="G31" s="106"/>
      <c r="H31" s="105"/>
      <c r="I31" s="106"/>
      <c r="J31" s="106"/>
      <c r="K31" s="28"/>
    </row>
    <row r="32" spans="1:11" x14ac:dyDescent="0.2">
      <c r="A32" s="210">
        <v>25</v>
      </c>
      <c r="B32" s="36" t="s">
        <v>2274</v>
      </c>
      <c r="C32" s="106"/>
      <c r="D32" s="106"/>
      <c r="E32" s="106"/>
      <c r="F32" s="106"/>
      <c r="G32" s="106"/>
      <c r="H32" s="105"/>
      <c r="I32" s="106"/>
      <c r="J32" s="106"/>
      <c r="K32" s="28"/>
    </row>
    <row r="33" spans="1:11" x14ac:dyDescent="0.2">
      <c r="A33" s="210">
        <v>26</v>
      </c>
      <c r="B33" s="36" t="s">
        <v>2275</v>
      </c>
      <c r="C33" s="106"/>
      <c r="D33" s="106"/>
      <c r="E33" s="106"/>
      <c r="F33" s="106"/>
      <c r="G33" s="106"/>
      <c r="H33" s="105"/>
      <c r="I33" s="106"/>
      <c r="J33" s="106"/>
      <c r="K33" s="28"/>
    </row>
    <row r="34" spans="1:11" x14ac:dyDescent="0.2">
      <c r="A34" s="210">
        <v>27</v>
      </c>
      <c r="B34" s="36" t="s">
        <v>2276</v>
      </c>
      <c r="C34" s="106"/>
      <c r="D34" s="106"/>
      <c r="E34" s="106"/>
      <c r="F34" s="106"/>
      <c r="G34" s="106"/>
      <c r="H34" s="105"/>
      <c r="I34" s="106"/>
      <c r="J34" s="106"/>
      <c r="K34" s="28"/>
    </row>
    <row r="35" spans="1:11" x14ac:dyDescent="0.2">
      <c r="A35" s="210">
        <v>28</v>
      </c>
      <c r="B35" s="36" t="s">
        <v>2277</v>
      </c>
      <c r="C35" s="106"/>
      <c r="D35" s="106"/>
      <c r="E35" s="106"/>
      <c r="F35" s="106"/>
      <c r="G35" s="106"/>
      <c r="H35" s="105"/>
      <c r="I35" s="106"/>
      <c r="J35" s="106"/>
      <c r="K35" s="28"/>
    </row>
    <row r="36" spans="1:11" x14ac:dyDescent="0.2">
      <c r="A36" s="210">
        <v>29</v>
      </c>
      <c r="B36" s="36" t="s">
        <v>2278</v>
      </c>
      <c r="C36" s="106"/>
      <c r="D36" s="106"/>
      <c r="E36" s="106"/>
      <c r="F36" s="106"/>
      <c r="G36" s="106"/>
      <c r="H36" s="105"/>
      <c r="I36" s="106"/>
      <c r="J36" s="106"/>
      <c r="K36" s="28"/>
    </row>
    <row r="37" spans="1:11" x14ac:dyDescent="0.2">
      <c r="A37" s="211">
        <v>30</v>
      </c>
      <c r="B37" s="212" t="s">
        <v>2279</v>
      </c>
      <c r="C37" s="213"/>
      <c r="D37" s="213"/>
      <c r="E37" s="213"/>
      <c r="F37" s="213"/>
      <c r="G37" s="213"/>
      <c r="H37" s="214"/>
      <c r="I37" s="213"/>
      <c r="J37" s="213"/>
      <c r="K37" s="215"/>
    </row>
    <row r="38" spans="1:11" x14ac:dyDescent="0.2">
      <c r="A38" s="4"/>
      <c r="B38" s="4"/>
      <c r="C38" s="4"/>
      <c r="D38" s="4"/>
      <c r="E38" s="4"/>
      <c r="F38" s="4"/>
      <c r="G38" s="4"/>
      <c r="H38" s="4"/>
      <c r="I38" s="4"/>
      <c r="J38" s="4"/>
      <c r="K38" s="4"/>
    </row>
    <row r="39" spans="1:11" ht="20" customHeight="1" x14ac:dyDescent="0.2">
      <c r="A39" s="245" t="s">
        <v>2102</v>
      </c>
      <c r="B39" s="245"/>
      <c r="C39" s="245"/>
      <c r="D39" s="245"/>
      <c r="E39" s="245"/>
      <c r="F39" s="245"/>
      <c r="G39" s="245"/>
      <c r="H39" s="245"/>
      <c r="I39" s="245"/>
      <c r="J39" s="245"/>
      <c r="K39" s="245"/>
    </row>
    <row r="40" spans="1:11" x14ac:dyDescent="0.2">
      <c r="A40" s="246" t="s">
        <v>2103</v>
      </c>
      <c r="B40" s="246"/>
      <c r="C40" s="246"/>
      <c r="D40" s="246" t="s">
        <v>2104</v>
      </c>
      <c r="E40" s="246"/>
      <c r="F40" s="246"/>
      <c r="G40" s="246" t="s">
        <v>2105</v>
      </c>
      <c r="H40" s="246"/>
      <c r="I40" s="246"/>
      <c r="J40" s="246" t="s">
        <v>973</v>
      </c>
      <c r="K40" s="246"/>
    </row>
    <row r="41" spans="1:11" ht="26" customHeight="1" x14ac:dyDescent="0.2">
      <c r="A41" s="235"/>
      <c r="B41" s="236"/>
      <c r="C41" s="236"/>
      <c r="D41" s="236"/>
      <c r="E41" s="236"/>
      <c r="F41" s="236"/>
      <c r="G41" s="236"/>
      <c r="H41" s="236"/>
      <c r="I41" s="236"/>
      <c r="J41" s="237"/>
      <c r="K41"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41:C41"/>
    <mergeCell ref="D41:F41"/>
    <mergeCell ref="G41:I41"/>
    <mergeCell ref="J41:K41"/>
    <mergeCell ref="A5:B5"/>
    <mergeCell ref="C5:D5"/>
    <mergeCell ref="E5:F5"/>
    <mergeCell ref="G5:H5"/>
    <mergeCell ref="J5:K5"/>
    <mergeCell ref="A6:B6"/>
    <mergeCell ref="J6:K6"/>
    <mergeCell ref="A39:K39"/>
    <mergeCell ref="A40:C40"/>
    <mergeCell ref="D40:F40"/>
    <mergeCell ref="G40:I40"/>
    <mergeCell ref="J40:K40"/>
  </mergeCells>
  <conditionalFormatting sqref="C8:F37">
    <cfRule type="containsText" dxfId="59" priority="3" operator="containsText" text="No">
      <formula>NOT(ISERROR(SEARCH("No",C8)))</formula>
    </cfRule>
  </conditionalFormatting>
  <conditionalFormatting sqref="G8:G37">
    <cfRule type="containsText" dxfId="58" priority="1" operator="containsText" text="Pass">
      <formula>NOT(ISERROR(SEARCH("Pass",G8)))</formula>
    </cfRule>
    <cfRule type="containsText" dxfId="57" priority="2" operator="containsText" text="Fail">
      <formula>NOT(ISERROR(SEARCH("Fail",G8)))</formula>
    </cfRule>
  </conditionalFormatting>
  <dataValidations count="3">
    <dataValidation type="list" allowBlank="1" showInputMessage="1" showErrorMessage="1" sqref="C8:C37 D8:D37 E8:E37 F8:F37" xr:uid="{6F20F3D5-D224-334F-9905-046E20F9DBB6}">
      <formula1>"Yes,No,N/A"</formula1>
    </dataValidation>
    <dataValidation type="list" allowBlank="1" showInputMessage="1" showErrorMessage="1" sqref="G8:G37" xr:uid="{5E696BB9-2404-3341-8B94-068A24FE5650}">
      <formula1>"Pass,Fail,N/A"</formula1>
    </dataValidation>
    <dataValidation type="list" allowBlank="1" showInputMessage="1" showErrorMessage="1" sqref="G5" xr:uid="{8AB5B84D-C2F3-5340-B762-A02178244F3C}">
      <formula1>"1 - Preparatory,2 - Work Readiness,3 - First Work Review,4 - Follow-Up"</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A93A8-4344-3949-8A95-C89FE1E8CDAE}">
  <dimension ref="A1:K30"/>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2280</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334</v>
      </c>
      <c r="H3" s="239"/>
      <c r="I3" s="217" t="s">
        <v>193</v>
      </c>
      <c r="J3" s="239" t="s">
        <v>2066</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2281</v>
      </c>
      <c r="B5" s="239"/>
      <c r="C5" s="240"/>
      <c r="D5" s="240"/>
      <c r="E5" s="240"/>
      <c r="F5" s="240"/>
      <c r="G5" s="240"/>
      <c r="H5" s="240"/>
      <c r="I5" s="216"/>
      <c r="J5" s="241"/>
      <c r="K5" s="240"/>
    </row>
    <row r="6" spans="1:11" ht="20" customHeight="1" x14ac:dyDescent="0.2">
      <c r="A6" s="242" t="s">
        <v>2073</v>
      </c>
      <c r="B6" s="242"/>
      <c r="C6" s="218" t="s">
        <v>2074</v>
      </c>
      <c r="D6" s="219">
        <f>COUNTA($B$8:$B$26)</f>
        <v>19</v>
      </c>
      <c r="E6" s="218" t="s">
        <v>188</v>
      </c>
      <c r="F6" s="219">
        <f>COUNTIF($G$8:$G$26,"Pass")</f>
        <v>0</v>
      </c>
      <c r="G6" s="218" t="s">
        <v>189</v>
      </c>
      <c r="H6" s="219">
        <f>COUNTIF($G$8:$G$26,"Fail")</f>
        <v>0</v>
      </c>
      <c r="I6" s="218" t="s">
        <v>132</v>
      </c>
      <c r="J6" s="243">
        <f>IF($D$6=0,0,($F$6+COUNTIF($G$8:$G$26,"N/A"))/$D$6)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2282</v>
      </c>
      <c r="C8" s="208"/>
      <c r="D8" s="208"/>
      <c r="E8" s="208"/>
      <c r="F8" s="208"/>
      <c r="G8" s="208"/>
      <c r="H8" s="209"/>
      <c r="I8" s="208"/>
      <c r="J8" s="208"/>
      <c r="K8" s="27"/>
    </row>
    <row r="9" spans="1:11" x14ac:dyDescent="0.2">
      <c r="A9" s="210">
        <v>2</v>
      </c>
      <c r="B9" s="36" t="s">
        <v>2283</v>
      </c>
      <c r="C9" s="106"/>
      <c r="D9" s="106"/>
      <c r="E9" s="106"/>
      <c r="F9" s="106"/>
      <c r="G9" s="106"/>
      <c r="H9" s="105"/>
      <c r="I9" s="106"/>
      <c r="J9" s="106"/>
      <c r="K9" s="28"/>
    </row>
    <row r="10" spans="1:11" x14ac:dyDescent="0.2">
      <c r="A10" s="210">
        <v>3</v>
      </c>
      <c r="B10" s="36" t="s">
        <v>2284</v>
      </c>
      <c r="C10" s="106"/>
      <c r="D10" s="106"/>
      <c r="E10" s="106"/>
      <c r="F10" s="106"/>
      <c r="G10" s="106"/>
      <c r="H10" s="105"/>
      <c r="I10" s="106"/>
      <c r="J10" s="106"/>
      <c r="K10" s="28"/>
    </row>
    <row r="11" spans="1:11" x14ac:dyDescent="0.2">
      <c r="A11" s="210">
        <v>4</v>
      </c>
      <c r="B11" s="36" t="s">
        <v>2285</v>
      </c>
      <c r="C11" s="106"/>
      <c r="D11" s="106"/>
      <c r="E11" s="106"/>
      <c r="F11" s="106"/>
      <c r="G11" s="106"/>
      <c r="H11" s="105"/>
      <c r="I11" s="106"/>
      <c r="J11" s="106"/>
      <c r="K11" s="28"/>
    </row>
    <row r="12" spans="1:11" x14ac:dyDescent="0.2">
      <c r="A12" s="210">
        <v>5</v>
      </c>
      <c r="B12" s="36" t="s">
        <v>2286</v>
      </c>
      <c r="C12" s="106"/>
      <c r="D12" s="106"/>
      <c r="E12" s="106"/>
      <c r="F12" s="106"/>
      <c r="G12" s="106"/>
      <c r="H12" s="105"/>
      <c r="I12" s="106"/>
      <c r="J12" s="106"/>
      <c r="K12" s="28"/>
    </row>
    <row r="13" spans="1:11" x14ac:dyDescent="0.2">
      <c r="A13" s="210">
        <v>6</v>
      </c>
      <c r="B13" s="36" t="s">
        <v>2287</v>
      </c>
      <c r="C13" s="106"/>
      <c r="D13" s="106"/>
      <c r="E13" s="106"/>
      <c r="F13" s="106"/>
      <c r="G13" s="106"/>
      <c r="H13" s="105"/>
      <c r="I13" s="106"/>
      <c r="J13" s="106"/>
      <c r="K13" s="28"/>
    </row>
    <row r="14" spans="1:11" x14ac:dyDescent="0.2">
      <c r="A14" s="210">
        <v>7</v>
      </c>
      <c r="B14" s="36" t="s">
        <v>2288</v>
      </c>
      <c r="C14" s="106"/>
      <c r="D14" s="106"/>
      <c r="E14" s="106"/>
      <c r="F14" s="106"/>
      <c r="G14" s="106"/>
      <c r="H14" s="105"/>
      <c r="I14" s="106"/>
      <c r="J14" s="106"/>
      <c r="K14" s="28"/>
    </row>
    <row r="15" spans="1:11" x14ac:dyDescent="0.2">
      <c r="A15" s="210">
        <v>8</v>
      </c>
      <c r="B15" s="36" t="s">
        <v>2289</v>
      </c>
      <c r="C15" s="106"/>
      <c r="D15" s="106"/>
      <c r="E15" s="106"/>
      <c r="F15" s="106"/>
      <c r="G15" s="106"/>
      <c r="H15" s="105"/>
      <c r="I15" s="106"/>
      <c r="J15" s="106"/>
      <c r="K15" s="28"/>
    </row>
    <row r="16" spans="1:11" x14ac:dyDescent="0.2">
      <c r="A16" s="210">
        <v>9</v>
      </c>
      <c r="B16" s="36" t="s">
        <v>2290</v>
      </c>
      <c r="C16" s="106"/>
      <c r="D16" s="106"/>
      <c r="E16" s="106"/>
      <c r="F16" s="106"/>
      <c r="G16" s="106"/>
      <c r="H16" s="105"/>
      <c r="I16" s="106"/>
      <c r="J16" s="106"/>
      <c r="K16" s="28"/>
    </row>
    <row r="17" spans="1:11" x14ac:dyDescent="0.2">
      <c r="A17" s="210">
        <v>10</v>
      </c>
      <c r="B17" s="36" t="s">
        <v>2291</v>
      </c>
      <c r="C17" s="106"/>
      <c r="D17" s="106"/>
      <c r="E17" s="106"/>
      <c r="F17" s="106"/>
      <c r="G17" s="106"/>
      <c r="H17" s="105"/>
      <c r="I17" s="106"/>
      <c r="J17" s="106"/>
      <c r="K17" s="28"/>
    </row>
    <row r="18" spans="1:11" x14ac:dyDescent="0.2">
      <c r="A18" s="210">
        <v>11</v>
      </c>
      <c r="B18" s="36" t="s">
        <v>2292</v>
      </c>
      <c r="C18" s="106"/>
      <c r="D18" s="106"/>
      <c r="E18" s="106"/>
      <c r="F18" s="106"/>
      <c r="G18" s="106"/>
      <c r="H18" s="105"/>
      <c r="I18" s="106"/>
      <c r="J18" s="106"/>
      <c r="K18" s="28"/>
    </row>
    <row r="19" spans="1:11" x14ac:dyDescent="0.2">
      <c r="A19" s="210">
        <v>12</v>
      </c>
      <c r="B19" s="36" t="s">
        <v>2172</v>
      </c>
      <c r="C19" s="106"/>
      <c r="D19" s="106"/>
      <c r="E19" s="106"/>
      <c r="F19" s="106"/>
      <c r="G19" s="106"/>
      <c r="H19" s="105"/>
      <c r="I19" s="106"/>
      <c r="J19" s="106"/>
      <c r="K19" s="28"/>
    </row>
    <row r="20" spans="1:11" x14ac:dyDescent="0.2">
      <c r="A20" s="210">
        <v>13</v>
      </c>
      <c r="B20" s="36" t="s">
        <v>2177</v>
      </c>
      <c r="C20" s="106"/>
      <c r="D20" s="106"/>
      <c r="E20" s="106"/>
      <c r="F20" s="106"/>
      <c r="G20" s="106"/>
      <c r="H20" s="105"/>
      <c r="I20" s="106"/>
      <c r="J20" s="106"/>
      <c r="K20" s="28"/>
    </row>
    <row r="21" spans="1:11" x14ac:dyDescent="0.2">
      <c r="A21" s="210">
        <v>14</v>
      </c>
      <c r="B21" s="36" t="s">
        <v>2293</v>
      </c>
      <c r="C21" s="106"/>
      <c r="D21" s="106"/>
      <c r="E21" s="106"/>
      <c r="F21" s="106"/>
      <c r="G21" s="106"/>
      <c r="H21" s="105"/>
      <c r="I21" s="106"/>
      <c r="J21" s="106"/>
      <c r="K21" s="28"/>
    </row>
    <row r="22" spans="1:11" x14ac:dyDescent="0.2">
      <c r="A22" s="210">
        <v>15</v>
      </c>
      <c r="B22" s="36" t="s">
        <v>2294</v>
      </c>
      <c r="C22" s="106"/>
      <c r="D22" s="106"/>
      <c r="E22" s="106"/>
      <c r="F22" s="106"/>
      <c r="G22" s="106"/>
      <c r="H22" s="105"/>
      <c r="I22" s="106"/>
      <c r="J22" s="106"/>
      <c r="K22" s="28"/>
    </row>
    <row r="23" spans="1:11" x14ac:dyDescent="0.2">
      <c r="A23" s="210">
        <v>16</v>
      </c>
      <c r="B23" s="36" t="s">
        <v>2185</v>
      </c>
      <c r="C23" s="106"/>
      <c r="D23" s="106"/>
      <c r="E23" s="106"/>
      <c r="F23" s="106"/>
      <c r="G23" s="106"/>
      <c r="H23" s="105"/>
      <c r="I23" s="106"/>
      <c r="J23" s="106"/>
      <c r="K23" s="28"/>
    </row>
    <row r="24" spans="1:11" x14ac:dyDescent="0.2">
      <c r="A24" s="210">
        <v>17</v>
      </c>
      <c r="B24" s="36" t="s">
        <v>2295</v>
      </c>
      <c r="C24" s="106"/>
      <c r="D24" s="106"/>
      <c r="E24" s="106"/>
      <c r="F24" s="106"/>
      <c r="G24" s="106"/>
      <c r="H24" s="105"/>
      <c r="I24" s="106"/>
      <c r="J24" s="106"/>
      <c r="K24" s="28"/>
    </row>
    <row r="25" spans="1:11" x14ac:dyDescent="0.2">
      <c r="A25" s="210">
        <v>18</v>
      </c>
      <c r="B25" s="36" t="s">
        <v>2296</v>
      </c>
      <c r="C25" s="106"/>
      <c r="D25" s="106"/>
      <c r="E25" s="106"/>
      <c r="F25" s="106"/>
      <c r="G25" s="106"/>
      <c r="H25" s="105"/>
      <c r="I25" s="106"/>
      <c r="J25" s="106"/>
      <c r="K25" s="28"/>
    </row>
    <row r="26" spans="1:11" x14ac:dyDescent="0.2">
      <c r="A26" s="211">
        <v>19</v>
      </c>
      <c r="B26" s="212" t="s">
        <v>2297</v>
      </c>
      <c r="C26" s="213"/>
      <c r="D26" s="213"/>
      <c r="E26" s="213"/>
      <c r="F26" s="213"/>
      <c r="G26" s="213"/>
      <c r="H26" s="214"/>
      <c r="I26" s="213"/>
      <c r="J26" s="213"/>
      <c r="K26" s="215"/>
    </row>
    <row r="27" spans="1:11" x14ac:dyDescent="0.2">
      <c r="A27" s="4"/>
      <c r="B27" s="4"/>
      <c r="C27" s="4"/>
      <c r="D27" s="4"/>
      <c r="E27" s="4"/>
      <c r="F27" s="4"/>
      <c r="G27" s="4"/>
      <c r="H27" s="4"/>
      <c r="I27" s="4"/>
      <c r="J27" s="4"/>
      <c r="K27" s="4"/>
    </row>
    <row r="28" spans="1:11" ht="20" customHeight="1" x14ac:dyDescent="0.2">
      <c r="A28" s="245" t="s">
        <v>2102</v>
      </c>
      <c r="B28" s="245"/>
      <c r="C28" s="245"/>
      <c r="D28" s="245"/>
      <c r="E28" s="245"/>
      <c r="F28" s="245"/>
      <c r="G28" s="245"/>
      <c r="H28" s="245"/>
      <c r="I28" s="245"/>
      <c r="J28" s="245"/>
      <c r="K28" s="245"/>
    </row>
    <row r="29" spans="1:11" x14ac:dyDescent="0.2">
      <c r="A29" s="246" t="s">
        <v>2103</v>
      </c>
      <c r="B29" s="246"/>
      <c r="C29" s="246"/>
      <c r="D29" s="246" t="s">
        <v>2104</v>
      </c>
      <c r="E29" s="246"/>
      <c r="F29" s="246"/>
      <c r="G29" s="246" t="s">
        <v>2105</v>
      </c>
      <c r="H29" s="246"/>
      <c r="I29" s="246"/>
      <c r="J29" s="246" t="s">
        <v>973</v>
      </c>
      <c r="K29" s="246"/>
    </row>
    <row r="30" spans="1:11" ht="26" customHeight="1" x14ac:dyDescent="0.2">
      <c r="A30" s="235"/>
      <c r="B30" s="236"/>
      <c r="C30" s="236"/>
      <c r="D30" s="236"/>
      <c r="E30" s="236"/>
      <c r="F30" s="236"/>
      <c r="G30" s="236"/>
      <c r="H30" s="236"/>
      <c r="I30" s="236"/>
      <c r="J30" s="237"/>
      <c r="K30"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0:C30"/>
    <mergeCell ref="D30:F30"/>
    <mergeCell ref="G30:I30"/>
    <mergeCell ref="J30:K30"/>
    <mergeCell ref="A5:B5"/>
    <mergeCell ref="C5:D5"/>
    <mergeCell ref="E5:F5"/>
    <mergeCell ref="G5:H5"/>
    <mergeCell ref="J5:K5"/>
    <mergeCell ref="A6:B6"/>
    <mergeCell ref="J6:K6"/>
    <mergeCell ref="A28:K28"/>
    <mergeCell ref="A29:C29"/>
    <mergeCell ref="D29:F29"/>
    <mergeCell ref="G29:I29"/>
    <mergeCell ref="J29:K29"/>
  </mergeCells>
  <conditionalFormatting sqref="C8:F26">
    <cfRule type="containsText" dxfId="56" priority="3" operator="containsText" text="No">
      <formula>NOT(ISERROR(SEARCH("No",C8)))</formula>
    </cfRule>
  </conditionalFormatting>
  <conditionalFormatting sqref="G8:G26">
    <cfRule type="containsText" dxfId="55" priority="1" operator="containsText" text="Pass">
      <formula>NOT(ISERROR(SEARCH("Pass",G8)))</formula>
    </cfRule>
    <cfRule type="containsText" dxfId="54" priority="2" operator="containsText" text="Fail">
      <formula>NOT(ISERROR(SEARCH("Fail",G8)))</formula>
    </cfRule>
  </conditionalFormatting>
  <dataValidations count="3">
    <dataValidation type="list" allowBlank="1" showInputMessage="1" showErrorMessage="1" sqref="C8:C26 D8:D26 E8:E26 F8:F26" xr:uid="{7140F568-E458-DD4A-B15A-74BDF972E5E9}">
      <formula1>"Yes,No,N/A"</formula1>
    </dataValidation>
    <dataValidation type="list" allowBlank="1" showInputMessage="1" showErrorMessage="1" sqref="G8:G26" xr:uid="{CA34D86B-10B6-714D-A10A-562357E69324}">
      <formula1>"Pass,Fail,N/A"</formula1>
    </dataValidation>
    <dataValidation type="list" allowBlank="1" showInputMessage="1" showErrorMessage="1" sqref="G5" xr:uid="{7CA5FB7A-033D-D54B-AECE-B401E17229F5}">
      <formula1>"1 - Preparatory,2 - Work Readiness,3 - First Work Review,4 - Follow-Up"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0781-3AD3-434B-BF9B-9CABFF4B1759}">
  <dimension ref="A1:K24"/>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2298</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334</v>
      </c>
      <c r="H3" s="239"/>
      <c r="I3" s="217" t="s">
        <v>193</v>
      </c>
      <c r="J3" s="239" t="s">
        <v>2066</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2191</v>
      </c>
      <c r="B5" s="239"/>
      <c r="C5" s="240"/>
      <c r="D5" s="240"/>
      <c r="E5" s="240"/>
      <c r="F5" s="240"/>
      <c r="G5" s="240"/>
      <c r="H5" s="240"/>
      <c r="I5" s="216"/>
      <c r="J5" s="241"/>
      <c r="K5" s="240"/>
    </row>
    <row r="6" spans="1:11" ht="20" customHeight="1" x14ac:dyDescent="0.2">
      <c r="A6" s="242" t="s">
        <v>2073</v>
      </c>
      <c r="B6" s="242"/>
      <c r="C6" s="218" t="s">
        <v>2074</v>
      </c>
      <c r="D6" s="219">
        <f>COUNTA($B$8:$B$20)</f>
        <v>13</v>
      </c>
      <c r="E6" s="218" t="s">
        <v>188</v>
      </c>
      <c r="F6" s="219">
        <f>COUNTIF($G$8:$G$20,"Pass")</f>
        <v>0</v>
      </c>
      <c r="G6" s="218" t="s">
        <v>189</v>
      </c>
      <c r="H6" s="219">
        <f>COUNTIF($G$8:$G$20,"Fail")</f>
        <v>0</v>
      </c>
      <c r="I6" s="218" t="s">
        <v>132</v>
      </c>
      <c r="J6" s="243">
        <f>IF($D$6=0,0,($F$6+COUNTIF($G$8:$G$20,"N/A"))/$D$6)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2299</v>
      </c>
      <c r="C8" s="208"/>
      <c r="D8" s="208"/>
      <c r="E8" s="208"/>
      <c r="F8" s="208"/>
      <c r="G8" s="208"/>
      <c r="H8" s="209"/>
      <c r="I8" s="208"/>
      <c r="J8" s="208"/>
      <c r="K8" s="27"/>
    </row>
    <row r="9" spans="1:11" x14ac:dyDescent="0.2">
      <c r="A9" s="210">
        <v>2</v>
      </c>
      <c r="B9" s="36" t="s">
        <v>2300</v>
      </c>
      <c r="C9" s="106"/>
      <c r="D9" s="106"/>
      <c r="E9" s="106"/>
      <c r="F9" s="106"/>
      <c r="G9" s="106"/>
      <c r="H9" s="105"/>
      <c r="I9" s="106"/>
      <c r="J9" s="106"/>
      <c r="K9" s="28"/>
    </row>
    <row r="10" spans="1:11" x14ac:dyDescent="0.2">
      <c r="A10" s="210">
        <v>3</v>
      </c>
      <c r="B10" s="36" t="s">
        <v>2301</v>
      </c>
      <c r="C10" s="106"/>
      <c r="D10" s="106"/>
      <c r="E10" s="106"/>
      <c r="F10" s="106"/>
      <c r="G10" s="106"/>
      <c r="H10" s="105"/>
      <c r="I10" s="106"/>
      <c r="J10" s="106"/>
      <c r="K10" s="28"/>
    </row>
    <row r="11" spans="1:11" x14ac:dyDescent="0.2">
      <c r="A11" s="210">
        <v>4</v>
      </c>
      <c r="B11" s="36" t="s">
        <v>2289</v>
      </c>
      <c r="C11" s="106"/>
      <c r="D11" s="106"/>
      <c r="E11" s="106"/>
      <c r="F11" s="106"/>
      <c r="G11" s="106"/>
      <c r="H11" s="105"/>
      <c r="I11" s="106"/>
      <c r="J11" s="106"/>
      <c r="K11" s="28"/>
    </row>
    <row r="12" spans="1:11" x14ac:dyDescent="0.2">
      <c r="A12" s="210">
        <v>5</v>
      </c>
      <c r="B12" s="36" t="s">
        <v>2177</v>
      </c>
      <c r="C12" s="106"/>
      <c r="D12" s="106"/>
      <c r="E12" s="106"/>
      <c r="F12" s="106"/>
      <c r="G12" s="106"/>
      <c r="H12" s="105"/>
      <c r="I12" s="106"/>
      <c r="J12" s="106"/>
      <c r="K12" s="28"/>
    </row>
    <row r="13" spans="1:11" x14ac:dyDescent="0.2">
      <c r="A13" s="210">
        <v>6</v>
      </c>
      <c r="B13" s="36" t="s">
        <v>2293</v>
      </c>
      <c r="C13" s="106"/>
      <c r="D13" s="106"/>
      <c r="E13" s="106"/>
      <c r="F13" s="106"/>
      <c r="G13" s="106"/>
      <c r="H13" s="105"/>
      <c r="I13" s="106"/>
      <c r="J13" s="106"/>
      <c r="K13" s="28"/>
    </row>
    <row r="14" spans="1:11" x14ac:dyDescent="0.2">
      <c r="A14" s="210">
        <v>7</v>
      </c>
      <c r="B14" s="36" t="s">
        <v>2172</v>
      </c>
      <c r="C14" s="106"/>
      <c r="D14" s="106"/>
      <c r="E14" s="106"/>
      <c r="F14" s="106"/>
      <c r="G14" s="106"/>
      <c r="H14" s="105"/>
      <c r="I14" s="106"/>
      <c r="J14" s="106"/>
      <c r="K14" s="28"/>
    </row>
    <row r="15" spans="1:11" x14ac:dyDescent="0.2">
      <c r="A15" s="210">
        <v>8</v>
      </c>
      <c r="B15" s="36" t="s">
        <v>2294</v>
      </c>
      <c r="C15" s="106"/>
      <c r="D15" s="106"/>
      <c r="E15" s="106"/>
      <c r="F15" s="106"/>
      <c r="G15" s="106"/>
      <c r="H15" s="105"/>
      <c r="I15" s="106"/>
      <c r="J15" s="106"/>
      <c r="K15" s="28"/>
    </row>
    <row r="16" spans="1:11" x14ac:dyDescent="0.2">
      <c r="A16" s="210">
        <v>9</v>
      </c>
      <c r="B16" s="36" t="s">
        <v>2302</v>
      </c>
      <c r="C16" s="106"/>
      <c r="D16" s="106"/>
      <c r="E16" s="106"/>
      <c r="F16" s="106"/>
      <c r="G16" s="106"/>
      <c r="H16" s="105"/>
      <c r="I16" s="106"/>
      <c r="J16" s="106"/>
      <c r="K16" s="28"/>
    </row>
    <row r="17" spans="1:11" x14ac:dyDescent="0.2">
      <c r="A17" s="210">
        <v>10</v>
      </c>
      <c r="B17" s="36" t="s">
        <v>2287</v>
      </c>
      <c r="C17" s="106"/>
      <c r="D17" s="106"/>
      <c r="E17" s="106"/>
      <c r="F17" s="106"/>
      <c r="G17" s="106"/>
      <c r="H17" s="105"/>
      <c r="I17" s="106"/>
      <c r="J17" s="106"/>
      <c r="K17" s="28"/>
    </row>
    <row r="18" spans="1:11" x14ac:dyDescent="0.2">
      <c r="A18" s="210">
        <v>11</v>
      </c>
      <c r="B18" s="36" t="s">
        <v>2290</v>
      </c>
      <c r="C18" s="106"/>
      <c r="D18" s="106"/>
      <c r="E18" s="106"/>
      <c r="F18" s="106"/>
      <c r="G18" s="106"/>
      <c r="H18" s="105"/>
      <c r="I18" s="106"/>
      <c r="J18" s="106"/>
      <c r="K18" s="28"/>
    </row>
    <row r="19" spans="1:11" x14ac:dyDescent="0.2">
      <c r="A19" s="210">
        <v>12</v>
      </c>
      <c r="B19" s="36" t="s">
        <v>2303</v>
      </c>
      <c r="C19" s="106"/>
      <c r="D19" s="106"/>
      <c r="E19" s="106"/>
      <c r="F19" s="106"/>
      <c r="G19" s="106"/>
      <c r="H19" s="105"/>
      <c r="I19" s="106"/>
      <c r="J19" s="106"/>
      <c r="K19" s="28"/>
    </row>
    <row r="20" spans="1:11" x14ac:dyDescent="0.2">
      <c r="A20" s="211">
        <v>13</v>
      </c>
      <c r="B20" s="212" t="s">
        <v>2296</v>
      </c>
      <c r="C20" s="213"/>
      <c r="D20" s="213"/>
      <c r="E20" s="213"/>
      <c r="F20" s="213"/>
      <c r="G20" s="213"/>
      <c r="H20" s="214"/>
      <c r="I20" s="213"/>
      <c r="J20" s="213"/>
      <c r="K20" s="215"/>
    </row>
    <row r="21" spans="1:11" x14ac:dyDescent="0.2">
      <c r="A21" s="4"/>
      <c r="B21" s="4"/>
      <c r="C21" s="4"/>
      <c r="D21" s="4"/>
      <c r="E21" s="4"/>
      <c r="F21" s="4"/>
      <c r="G21" s="4"/>
      <c r="H21" s="4"/>
      <c r="I21" s="4"/>
      <c r="J21" s="4"/>
      <c r="K21" s="4"/>
    </row>
    <row r="22" spans="1:11" ht="20" customHeight="1" x14ac:dyDescent="0.2">
      <c r="A22" s="245" t="s">
        <v>2102</v>
      </c>
      <c r="B22" s="245"/>
      <c r="C22" s="245"/>
      <c r="D22" s="245"/>
      <c r="E22" s="245"/>
      <c r="F22" s="245"/>
      <c r="G22" s="245"/>
      <c r="H22" s="245"/>
      <c r="I22" s="245"/>
      <c r="J22" s="245"/>
      <c r="K22" s="245"/>
    </row>
    <row r="23" spans="1:11" x14ac:dyDescent="0.2">
      <c r="A23" s="246" t="s">
        <v>2103</v>
      </c>
      <c r="B23" s="246"/>
      <c r="C23" s="246"/>
      <c r="D23" s="246" t="s">
        <v>2104</v>
      </c>
      <c r="E23" s="246"/>
      <c r="F23" s="246"/>
      <c r="G23" s="246" t="s">
        <v>2105</v>
      </c>
      <c r="H23" s="246"/>
      <c r="I23" s="246"/>
      <c r="J23" s="246" t="s">
        <v>973</v>
      </c>
      <c r="K23" s="246"/>
    </row>
    <row r="24" spans="1:11" ht="26" customHeight="1" x14ac:dyDescent="0.2">
      <c r="A24" s="235"/>
      <c r="B24" s="236"/>
      <c r="C24" s="236"/>
      <c r="D24" s="236"/>
      <c r="E24" s="236"/>
      <c r="F24" s="236"/>
      <c r="G24" s="236"/>
      <c r="H24" s="236"/>
      <c r="I24" s="236"/>
      <c r="J24" s="237"/>
      <c r="K24"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24:C24"/>
    <mergeCell ref="D24:F24"/>
    <mergeCell ref="G24:I24"/>
    <mergeCell ref="J24:K24"/>
    <mergeCell ref="A5:B5"/>
    <mergeCell ref="C5:D5"/>
    <mergeCell ref="E5:F5"/>
    <mergeCell ref="G5:H5"/>
    <mergeCell ref="J5:K5"/>
    <mergeCell ref="A6:B6"/>
    <mergeCell ref="J6:K6"/>
    <mergeCell ref="A22:K22"/>
    <mergeCell ref="A23:C23"/>
    <mergeCell ref="D23:F23"/>
    <mergeCell ref="G23:I23"/>
    <mergeCell ref="J23:K23"/>
  </mergeCells>
  <conditionalFormatting sqref="C8:F20">
    <cfRule type="containsText" dxfId="53" priority="3" operator="containsText" text="No">
      <formula>NOT(ISERROR(SEARCH("No",C8)))</formula>
    </cfRule>
  </conditionalFormatting>
  <conditionalFormatting sqref="G8:G20">
    <cfRule type="containsText" dxfId="52" priority="1" operator="containsText" text="Pass">
      <formula>NOT(ISERROR(SEARCH("Pass",G8)))</formula>
    </cfRule>
    <cfRule type="containsText" dxfId="51" priority="2" operator="containsText" text="Fail">
      <formula>NOT(ISERROR(SEARCH("Fail",G8)))</formula>
    </cfRule>
  </conditionalFormatting>
  <dataValidations count="3">
    <dataValidation type="list" allowBlank="1" showInputMessage="1" showErrorMessage="1" sqref="C8:C20 D8:D20 E8:E20 F8:F20" xr:uid="{F060244B-4591-104B-A17B-BA5D4C0EC0BE}">
      <formula1>"Yes,No,N/A"</formula1>
    </dataValidation>
    <dataValidation type="list" allowBlank="1" showInputMessage="1" showErrorMessage="1" sqref="G8:G20" xr:uid="{7D6FDE6D-4E05-9C47-AFAA-151B75858994}">
      <formula1>"Pass,Fail,N/A"</formula1>
    </dataValidation>
    <dataValidation type="list" allowBlank="1" showInputMessage="1" showErrorMessage="1" sqref="G5" xr:uid="{2627DCCF-37C4-184D-A292-90F2358D8DF4}">
      <formula1>"1 - Preparatory,2 - Work Readiness,3 - First Work Review,4 - Follow-Up"</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6B2EA-8761-A142-9F8E-1D05A4553367}">
  <dimension ref="A1:K38"/>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2304</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1820</v>
      </c>
      <c r="H3" s="239"/>
      <c r="I3" s="217" t="s">
        <v>204</v>
      </c>
      <c r="J3" s="239" t="s">
        <v>2305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2306</v>
      </c>
      <c r="B5" s="239"/>
      <c r="C5" s="240"/>
      <c r="D5" s="240"/>
      <c r="E5" s="240"/>
      <c r="F5" s="240"/>
      <c r="G5" s="240"/>
      <c r="H5" s="240"/>
      <c r="I5" s="216"/>
      <c r="J5" s="241"/>
      <c r="K5" s="240"/>
    </row>
    <row r="6" spans="1:11" ht="20" customHeight="1" x14ac:dyDescent="0.2">
      <c r="A6" s="242" t="s">
        <v>2073</v>
      </c>
      <c r="B6" s="242"/>
      <c r="C6" s="218" t="s">
        <v>2074</v>
      </c>
      <c r="D6" s="219">
        <f>COUNTA($B$8:$B$34)</f>
        <v>27</v>
      </c>
      <c r="E6" s="218" t="s">
        <v>188</v>
      </c>
      <c r="F6" s="219">
        <f>COUNTIF($G$8:$G$34,"Pass")</f>
        <v>0</v>
      </c>
      <c r="G6" s="218" t="s">
        <v>189</v>
      </c>
      <c r="H6" s="219">
        <f>COUNTIF($G$8:$G$34,"Fail")</f>
        <v>0</v>
      </c>
      <c r="I6" s="218" t="s">
        <v>132</v>
      </c>
      <c r="J6" s="243">
        <f>IF($D$6=0,0,($F$6+COUNTIF($G$8:$G$34,"N/A"))/$D$6)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2307</v>
      </c>
      <c r="C8" s="208"/>
      <c r="D8" s="208"/>
      <c r="E8" s="208"/>
      <c r="F8" s="208"/>
      <c r="G8" s="208"/>
      <c r="H8" s="209"/>
      <c r="I8" s="208"/>
      <c r="J8" s="208"/>
      <c r="K8" s="27"/>
    </row>
    <row r="9" spans="1:11" x14ac:dyDescent="0.2">
      <c r="A9" s="210">
        <v>2</v>
      </c>
      <c r="B9" s="36" t="s">
        <v>2308</v>
      </c>
      <c r="C9" s="106"/>
      <c r="D9" s="106"/>
      <c r="E9" s="106"/>
      <c r="F9" s="106"/>
      <c r="G9" s="106"/>
      <c r="H9" s="105"/>
      <c r="I9" s="106"/>
      <c r="J9" s="106"/>
      <c r="K9" s="28"/>
    </row>
    <row r="10" spans="1:11" x14ac:dyDescent="0.2">
      <c r="A10" s="210">
        <v>3</v>
      </c>
      <c r="B10" s="36" t="s">
        <v>2309</v>
      </c>
      <c r="C10" s="106"/>
      <c r="D10" s="106"/>
      <c r="E10" s="106"/>
      <c r="F10" s="106"/>
      <c r="G10" s="106"/>
      <c r="H10" s="105"/>
      <c r="I10" s="106"/>
      <c r="J10" s="106"/>
      <c r="K10" s="28"/>
    </row>
    <row r="11" spans="1:11" x14ac:dyDescent="0.2">
      <c r="A11" s="210">
        <v>4</v>
      </c>
      <c r="B11" s="36" t="s">
        <v>2310</v>
      </c>
      <c r="C11" s="106"/>
      <c r="D11" s="106"/>
      <c r="E11" s="106"/>
      <c r="F11" s="106"/>
      <c r="G11" s="106"/>
      <c r="H11" s="105"/>
      <c r="I11" s="106"/>
      <c r="J11" s="106"/>
      <c r="K11" s="28"/>
    </row>
    <row r="12" spans="1:11" x14ac:dyDescent="0.2">
      <c r="A12" s="210">
        <v>5</v>
      </c>
      <c r="B12" s="36" t="s">
        <v>2311</v>
      </c>
      <c r="C12" s="106"/>
      <c r="D12" s="106"/>
      <c r="E12" s="106"/>
      <c r="F12" s="106"/>
      <c r="G12" s="106"/>
      <c r="H12" s="105"/>
      <c r="I12" s="106"/>
      <c r="J12" s="106"/>
      <c r="K12" s="28"/>
    </row>
    <row r="13" spans="1:11" x14ac:dyDescent="0.2">
      <c r="A13" s="210">
        <v>6</v>
      </c>
      <c r="B13" s="36" t="s">
        <v>2312</v>
      </c>
      <c r="C13" s="106"/>
      <c r="D13" s="106"/>
      <c r="E13" s="106"/>
      <c r="F13" s="106"/>
      <c r="G13" s="106"/>
      <c r="H13" s="105"/>
      <c r="I13" s="106"/>
      <c r="J13" s="106"/>
      <c r="K13" s="28"/>
    </row>
    <row r="14" spans="1:11" x14ac:dyDescent="0.2">
      <c r="A14" s="210">
        <v>7</v>
      </c>
      <c r="B14" s="36" t="s">
        <v>2313</v>
      </c>
      <c r="C14" s="106"/>
      <c r="D14" s="106"/>
      <c r="E14" s="106"/>
      <c r="F14" s="106"/>
      <c r="G14" s="106"/>
      <c r="H14" s="105"/>
      <c r="I14" s="106"/>
      <c r="J14" s="106"/>
      <c r="K14" s="28"/>
    </row>
    <row r="15" spans="1:11" x14ac:dyDescent="0.2">
      <c r="A15" s="210">
        <v>8</v>
      </c>
      <c r="B15" s="36" t="s">
        <v>2314</v>
      </c>
      <c r="C15" s="106"/>
      <c r="D15" s="106"/>
      <c r="E15" s="106"/>
      <c r="F15" s="106"/>
      <c r="G15" s="106"/>
      <c r="H15" s="105"/>
      <c r="I15" s="106"/>
      <c r="J15" s="106"/>
      <c r="K15" s="28"/>
    </row>
    <row r="16" spans="1:11" x14ac:dyDescent="0.2">
      <c r="A16" s="210">
        <v>9</v>
      </c>
      <c r="B16" s="36" t="s">
        <v>2315</v>
      </c>
      <c r="C16" s="106"/>
      <c r="D16" s="106"/>
      <c r="E16" s="106"/>
      <c r="F16" s="106"/>
      <c r="G16" s="106"/>
      <c r="H16" s="105"/>
      <c r="I16" s="106"/>
      <c r="J16" s="106"/>
      <c r="K16" s="28"/>
    </row>
    <row r="17" spans="1:11" x14ac:dyDescent="0.2">
      <c r="A17" s="210">
        <v>10</v>
      </c>
      <c r="B17" s="36" t="s">
        <v>2316</v>
      </c>
      <c r="C17" s="106"/>
      <c r="D17" s="106"/>
      <c r="E17" s="106"/>
      <c r="F17" s="106"/>
      <c r="G17" s="106"/>
      <c r="H17" s="105"/>
      <c r="I17" s="106"/>
      <c r="J17" s="106"/>
      <c r="K17" s="28"/>
    </row>
    <row r="18" spans="1:11" x14ac:dyDescent="0.2">
      <c r="A18" s="210">
        <v>11</v>
      </c>
      <c r="B18" s="36" t="s">
        <v>2317</v>
      </c>
      <c r="C18" s="106"/>
      <c r="D18" s="106"/>
      <c r="E18" s="106"/>
      <c r="F18" s="106"/>
      <c r="G18" s="106"/>
      <c r="H18" s="105"/>
      <c r="I18" s="106"/>
      <c r="J18" s="106"/>
      <c r="K18" s="28"/>
    </row>
    <row r="19" spans="1:11" x14ac:dyDescent="0.2">
      <c r="A19" s="210">
        <v>12</v>
      </c>
      <c r="B19" s="36" t="s">
        <v>2318</v>
      </c>
      <c r="C19" s="106"/>
      <c r="D19" s="106"/>
      <c r="E19" s="106"/>
      <c r="F19" s="106"/>
      <c r="G19" s="106"/>
      <c r="H19" s="105"/>
      <c r="I19" s="106"/>
      <c r="J19" s="106"/>
      <c r="K19" s="28"/>
    </row>
    <row r="20" spans="1:11" x14ac:dyDescent="0.2">
      <c r="A20" s="210">
        <v>13</v>
      </c>
      <c r="B20" s="36" t="s">
        <v>2319</v>
      </c>
      <c r="C20" s="106"/>
      <c r="D20" s="106"/>
      <c r="E20" s="106"/>
      <c r="F20" s="106"/>
      <c r="G20" s="106"/>
      <c r="H20" s="105"/>
      <c r="I20" s="106"/>
      <c r="J20" s="106"/>
      <c r="K20" s="28"/>
    </row>
    <row r="21" spans="1:11" x14ac:dyDescent="0.2">
      <c r="A21" s="210">
        <v>14</v>
      </c>
      <c r="B21" s="36" t="s">
        <v>2320</v>
      </c>
      <c r="C21" s="106"/>
      <c r="D21" s="106"/>
      <c r="E21" s="106"/>
      <c r="F21" s="106"/>
      <c r="G21" s="106"/>
      <c r="H21" s="105"/>
      <c r="I21" s="106"/>
      <c r="J21" s="106"/>
      <c r="K21" s="28"/>
    </row>
    <row r="22" spans="1:11" x14ac:dyDescent="0.2">
      <c r="A22" s="210">
        <v>15</v>
      </c>
      <c r="B22" s="36" t="s">
        <v>2321</v>
      </c>
      <c r="C22" s="106"/>
      <c r="D22" s="106"/>
      <c r="E22" s="106"/>
      <c r="F22" s="106"/>
      <c r="G22" s="106"/>
      <c r="H22" s="105"/>
      <c r="I22" s="106"/>
      <c r="J22" s="106"/>
      <c r="K22" s="28"/>
    </row>
    <row r="23" spans="1:11" x14ac:dyDescent="0.2">
      <c r="A23" s="210">
        <v>16</v>
      </c>
      <c r="B23" s="36" t="s">
        <v>2322</v>
      </c>
      <c r="C23" s="106"/>
      <c r="D23" s="106"/>
      <c r="E23" s="106"/>
      <c r="F23" s="106"/>
      <c r="G23" s="106"/>
      <c r="H23" s="105"/>
      <c r="I23" s="106"/>
      <c r="J23" s="106"/>
      <c r="K23" s="28"/>
    </row>
    <row r="24" spans="1:11" x14ac:dyDescent="0.2">
      <c r="A24" s="210">
        <v>17</v>
      </c>
      <c r="B24" s="36" t="s">
        <v>2323</v>
      </c>
      <c r="C24" s="106"/>
      <c r="D24" s="106"/>
      <c r="E24" s="106"/>
      <c r="F24" s="106"/>
      <c r="G24" s="106"/>
      <c r="H24" s="105"/>
      <c r="I24" s="106"/>
      <c r="J24" s="106"/>
      <c r="K24" s="28"/>
    </row>
    <row r="25" spans="1:11" x14ac:dyDescent="0.2">
      <c r="A25" s="210">
        <v>18</v>
      </c>
      <c r="B25" s="36" t="s">
        <v>2324</v>
      </c>
      <c r="C25" s="106"/>
      <c r="D25" s="106"/>
      <c r="E25" s="106"/>
      <c r="F25" s="106"/>
      <c r="G25" s="106"/>
      <c r="H25" s="105"/>
      <c r="I25" s="106"/>
      <c r="J25" s="106"/>
      <c r="K25" s="28"/>
    </row>
    <row r="26" spans="1:11" x14ac:dyDescent="0.2">
      <c r="A26" s="210">
        <v>19</v>
      </c>
      <c r="B26" s="36" t="s">
        <v>2325</v>
      </c>
      <c r="C26" s="106"/>
      <c r="D26" s="106"/>
      <c r="E26" s="106"/>
      <c r="F26" s="106"/>
      <c r="G26" s="106"/>
      <c r="H26" s="105"/>
      <c r="I26" s="106"/>
      <c r="J26" s="106"/>
      <c r="K26" s="28"/>
    </row>
    <row r="27" spans="1:11" x14ac:dyDescent="0.2">
      <c r="A27" s="210">
        <v>20</v>
      </c>
      <c r="B27" s="36" t="s">
        <v>2326</v>
      </c>
      <c r="C27" s="106"/>
      <c r="D27" s="106"/>
      <c r="E27" s="106"/>
      <c r="F27" s="106"/>
      <c r="G27" s="106"/>
      <c r="H27" s="105"/>
      <c r="I27" s="106"/>
      <c r="J27" s="106"/>
      <c r="K27" s="28"/>
    </row>
    <row r="28" spans="1:11" x14ac:dyDescent="0.2">
      <c r="A28" s="210">
        <v>21</v>
      </c>
      <c r="B28" s="36" t="s">
        <v>2327</v>
      </c>
      <c r="C28" s="106"/>
      <c r="D28" s="106"/>
      <c r="E28" s="106"/>
      <c r="F28" s="106"/>
      <c r="G28" s="106"/>
      <c r="H28" s="105"/>
      <c r="I28" s="106"/>
      <c r="J28" s="106"/>
      <c r="K28" s="28"/>
    </row>
    <row r="29" spans="1:11" x14ac:dyDescent="0.2">
      <c r="A29" s="210">
        <v>22</v>
      </c>
      <c r="B29" s="36" t="s">
        <v>2328</v>
      </c>
      <c r="C29" s="106"/>
      <c r="D29" s="106"/>
      <c r="E29" s="106"/>
      <c r="F29" s="106"/>
      <c r="G29" s="106"/>
      <c r="H29" s="105"/>
      <c r="I29" s="106"/>
      <c r="J29" s="106"/>
      <c r="K29" s="28"/>
    </row>
    <row r="30" spans="1:11" x14ac:dyDescent="0.2">
      <c r="A30" s="210">
        <v>23</v>
      </c>
      <c r="B30" s="36" t="s">
        <v>2329</v>
      </c>
      <c r="C30" s="106"/>
      <c r="D30" s="106"/>
      <c r="E30" s="106"/>
      <c r="F30" s="106"/>
      <c r="G30" s="106"/>
      <c r="H30" s="105"/>
      <c r="I30" s="106"/>
      <c r="J30" s="106"/>
      <c r="K30" s="28"/>
    </row>
    <row r="31" spans="1:11" x14ac:dyDescent="0.2">
      <c r="A31" s="210">
        <v>24</v>
      </c>
      <c r="B31" s="36" t="s">
        <v>2330</v>
      </c>
      <c r="C31" s="106"/>
      <c r="D31" s="106"/>
      <c r="E31" s="106"/>
      <c r="F31" s="106"/>
      <c r="G31" s="106"/>
      <c r="H31" s="105"/>
      <c r="I31" s="106"/>
      <c r="J31" s="106"/>
      <c r="K31" s="28"/>
    </row>
    <row r="32" spans="1:11" x14ac:dyDescent="0.2">
      <c r="A32" s="210">
        <v>25</v>
      </c>
      <c r="B32" s="36" t="s">
        <v>2331</v>
      </c>
      <c r="C32" s="106"/>
      <c r="D32" s="106"/>
      <c r="E32" s="106"/>
      <c r="F32" s="106"/>
      <c r="G32" s="106"/>
      <c r="H32" s="105"/>
      <c r="I32" s="106"/>
      <c r="J32" s="106"/>
      <c r="K32" s="28"/>
    </row>
    <row r="33" spans="1:11" x14ac:dyDescent="0.2">
      <c r="A33" s="210">
        <v>26</v>
      </c>
      <c r="B33" s="36" t="s">
        <v>2332</v>
      </c>
      <c r="C33" s="106"/>
      <c r="D33" s="106"/>
      <c r="E33" s="106"/>
      <c r="F33" s="106"/>
      <c r="G33" s="106"/>
      <c r="H33" s="105"/>
      <c r="I33" s="106"/>
      <c r="J33" s="106"/>
      <c r="K33" s="28"/>
    </row>
    <row r="34" spans="1:11" x14ac:dyDescent="0.2">
      <c r="A34" s="211">
        <v>27</v>
      </c>
      <c r="B34" s="212" t="s">
        <v>2333</v>
      </c>
      <c r="C34" s="213"/>
      <c r="D34" s="213"/>
      <c r="E34" s="213"/>
      <c r="F34" s="213"/>
      <c r="G34" s="213"/>
      <c r="H34" s="214"/>
      <c r="I34" s="213"/>
      <c r="J34" s="213"/>
      <c r="K34" s="215"/>
    </row>
    <row r="35" spans="1:11" x14ac:dyDescent="0.2">
      <c r="A35" s="4"/>
      <c r="B35" s="4"/>
      <c r="C35" s="4"/>
      <c r="D35" s="4"/>
      <c r="E35" s="4"/>
      <c r="F35" s="4"/>
      <c r="G35" s="4"/>
      <c r="H35" s="4"/>
      <c r="I35" s="4"/>
      <c r="J35" s="4"/>
      <c r="K35" s="4"/>
    </row>
    <row r="36" spans="1:11" ht="20" customHeight="1" x14ac:dyDescent="0.2">
      <c r="A36" s="245" t="s">
        <v>2102</v>
      </c>
      <c r="B36" s="245"/>
      <c r="C36" s="245"/>
      <c r="D36" s="245"/>
      <c r="E36" s="245"/>
      <c r="F36" s="245"/>
      <c r="G36" s="245"/>
      <c r="H36" s="245"/>
      <c r="I36" s="245"/>
      <c r="J36" s="245"/>
      <c r="K36" s="245"/>
    </row>
    <row r="37" spans="1:11" x14ac:dyDescent="0.2">
      <c r="A37" s="246" t="s">
        <v>2103</v>
      </c>
      <c r="B37" s="246"/>
      <c r="C37" s="246"/>
      <c r="D37" s="246" t="s">
        <v>2104</v>
      </c>
      <c r="E37" s="246"/>
      <c r="F37" s="246"/>
      <c r="G37" s="246" t="s">
        <v>2105</v>
      </c>
      <c r="H37" s="246"/>
      <c r="I37" s="246"/>
      <c r="J37" s="246" t="s">
        <v>973</v>
      </c>
      <c r="K37" s="246"/>
    </row>
    <row r="38" spans="1:11" ht="26" customHeight="1" x14ac:dyDescent="0.2">
      <c r="A38" s="235"/>
      <c r="B38" s="236"/>
      <c r="C38" s="236"/>
      <c r="D38" s="236"/>
      <c r="E38" s="236"/>
      <c r="F38" s="236"/>
      <c r="G38" s="236"/>
      <c r="H38" s="236"/>
      <c r="I38" s="236"/>
      <c r="J38" s="237"/>
      <c r="K38"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8:C38"/>
    <mergeCell ref="D38:F38"/>
    <mergeCell ref="G38:I38"/>
    <mergeCell ref="J38:K38"/>
    <mergeCell ref="A5:B5"/>
    <mergeCell ref="C5:D5"/>
    <mergeCell ref="E5:F5"/>
    <mergeCell ref="G5:H5"/>
    <mergeCell ref="J5:K5"/>
    <mergeCell ref="A6:B6"/>
    <mergeCell ref="J6:K6"/>
    <mergeCell ref="A36:K36"/>
    <mergeCell ref="A37:C37"/>
    <mergeCell ref="D37:F37"/>
    <mergeCell ref="G37:I37"/>
    <mergeCell ref="J37:K37"/>
  </mergeCells>
  <conditionalFormatting sqref="C8:F34">
    <cfRule type="containsText" dxfId="50" priority="3" operator="containsText" text="No">
      <formula>NOT(ISERROR(SEARCH("No",C8)))</formula>
    </cfRule>
  </conditionalFormatting>
  <conditionalFormatting sqref="G8:G34">
    <cfRule type="containsText" dxfId="49" priority="1" operator="containsText" text="Pass">
      <formula>NOT(ISERROR(SEARCH("Pass",G8)))</formula>
    </cfRule>
    <cfRule type="containsText" dxfId="48" priority="2" operator="containsText" text="Fail">
      <formula>NOT(ISERROR(SEARCH("Fail",G8)))</formula>
    </cfRule>
  </conditionalFormatting>
  <dataValidations count="3">
    <dataValidation type="list" allowBlank="1" showInputMessage="1" showErrorMessage="1" sqref="C8:C34 D8:D34 E8:E34 F8:F34" xr:uid="{C0CAEC76-43CF-0C4F-81A1-6A32AA05E5C1}">
      <formula1>"Yes,No,N/A"</formula1>
    </dataValidation>
    <dataValidation type="list" allowBlank="1" showInputMessage="1" showErrorMessage="1" sqref="G8:G34" xr:uid="{6928FA4B-8E45-5847-875B-D580393549B4}">
      <formula1>"Pass,Fail,N/A"</formula1>
    </dataValidation>
    <dataValidation type="list" allowBlank="1" showInputMessage="1" showErrorMessage="1" sqref="G5" xr:uid="{31E52B5C-C98D-B246-A990-931FFB0FA17E}">
      <formula1>"1 - Preparatory,2 - Work Readiness,3 - First Work Review,4 - Follow-Up"</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21CED-7E63-494D-AB9F-948C55D98C2D}">
  <dimension ref="A1:K39"/>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2334</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385</v>
      </c>
      <c r="H3" s="239"/>
      <c r="I3" s="217" t="s">
        <v>200</v>
      </c>
      <c r="J3" s="239" t="s">
        <v>2215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357</v>
      </c>
      <c r="B5" s="239"/>
      <c r="C5" s="240"/>
      <c r="D5" s="240"/>
      <c r="E5" s="240"/>
      <c r="F5" s="240"/>
      <c r="G5" s="240"/>
      <c r="H5" s="240"/>
      <c r="I5" s="216"/>
      <c r="J5" s="241"/>
      <c r="K5" s="240"/>
    </row>
    <row r="6" spans="1:11" ht="20" customHeight="1" x14ac:dyDescent="0.2">
      <c r="A6" s="242" t="s">
        <v>2073</v>
      </c>
      <c r="B6" s="242"/>
      <c r="C6" s="218" t="s">
        <v>2074</v>
      </c>
      <c r="D6" s="219">
        <f>COUNTA($B$8:$B$35)</f>
        <v>28</v>
      </c>
      <c r="E6" s="218" t="s">
        <v>188</v>
      </c>
      <c r="F6" s="219">
        <f>COUNTIF($G$8:$G$35,"Pass")</f>
        <v>0</v>
      </c>
      <c r="G6" s="218" t="s">
        <v>189</v>
      </c>
      <c r="H6" s="219">
        <f>COUNTIF($G$8:$G$35,"Fail")</f>
        <v>0</v>
      </c>
      <c r="I6" s="218" t="s">
        <v>132</v>
      </c>
      <c r="J6" s="243">
        <f>IF($D$6=0,0,($F$6+COUNTIF($G$8:$G$35,"N/A"))/$D$6)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2335</v>
      </c>
      <c r="C8" s="208"/>
      <c r="D8" s="208"/>
      <c r="E8" s="208"/>
      <c r="F8" s="208"/>
      <c r="G8" s="208"/>
      <c r="H8" s="209"/>
      <c r="I8" s="208"/>
      <c r="J8" s="208"/>
      <c r="K8" s="27"/>
    </row>
    <row r="9" spans="1:11" x14ac:dyDescent="0.2">
      <c r="A9" s="210">
        <v>2</v>
      </c>
      <c r="B9" s="36" t="s">
        <v>2336</v>
      </c>
      <c r="C9" s="106"/>
      <c r="D9" s="106"/>
      <c r="E9" s="106"/>
      <c r="F9" s="106"/>
      <c r="G9" s="106"/>
      <c r="H9" s="105"/>
      <c r="I9" s="106"/>
      <c r="J9" s="106"/>
      <c r="K9" s="28"/>
    </row>
    <row r="10" spans="1:11" x14ac:dyDescent="0.2">
      <c r="A10" s="210">
        <v>3</v>
      </c>
      <c r="B10" s="36" t="s">
        <v>2337</v>
      </c>
      <c r="C10" s="106"/>
      <c r="D10" s="106"/>
      <c r="E10" s="106"/>
      <c r="F10" s="106"/>
      <c r="G10" s="106"/>
      <c r="H10" s="105"/>
      <c r="I10" s="106"/>
      <c r="J10" s="106"/>
      <c r="K10" s="28"/>
    </row>
    <row r="11" spans="1:11" x14ac:dyDescent="0.2">
      <c r="A11" s="210">
        <v>4</v>
      </c>
      <c r="B11" s="36" t="s">
        <v>2338</v>
      </c>
      <c r="C11" s="106"/>
      <c r="D11" s="106"/>
      <c r="E11" s="106"/>
      <c r="F11" s="106"/>
      <c r="G11" s="106"/>
      <c r="H11" s="105"/>
      <c r="I11" s="106"/>
      <c r="J11" s="106"/>
      <c r="K11" s="28"/>
    </row>
    <row r="12" spans="1:11" x14ac:dyDescent="0.2">
      <c r="A12" s="210">
        <v>5</v>
      </c>
      <c r="B12" s="36" t="s">
        <v>2339</v>
      </c>
      <c r="C12" s="106"/>
      <c r="D12" s="106"/>
      <c r="E12" s="106"/>
      <c r="F12" s="106"/>
      <c r="G12" s="106"/>
      <c r="H12" s="105"/>
      <c r="I12" s="106"/>
      <c r="J12" s="106"/>
      <c r="K12" s="28"/>
    </row>
    <row r="13" spans="1:11" x14ac:dyDescent="0.2">
      <c r="A13" s="210">
        <v>6</v>
      </c>
      <c r="B13" s="36" t="s">
        <v>2340</v>
      </c>
      <c r="C13" s="106"/>
      <c r="D13" s="106"/>
      <c r="E13" s="106"/>
      <c r="F13" s="106"/>
      <c r="G13" s="106"/>
      <c r="H13" s="105"/>
      <c r="I13" s="106"/>
      <c r="J13" s="106"/>
      <c r="K13" s="28"/>
    </row>
    <row r="14" spans="1:11" x14ac:dyDescent="0.2">
      <c r="A14" s="210">
        <v>7</v>
      </c>
      <c r="B14" s="36" t="s">
        <v>2341</v>
      </c>
      <c r="C14" s="106"/>
      <c r="D14" s="106"/>
      <c r="E14" s="106"/>
      <c r="F14" s="106"/>
      <c r="G14" s="106"/>
      <c r="H14" s="105"/>
      <c r="I14" s="106"/>
      <c r="J14" s="106"/>
      <c r="K14" s="28"/>
    </row>
    <row r="15" spans="1:11" x14ac:dyDescent="0.2">
      <c r="A15" s="210">
        <v>8</v>
      </c>
      <c r="B15" s="36" t="s">
        <v>2342</v>
      </c>
      <c r="C15" s="106"/>
      <c r="D15" s="106"/>
      <c r="E15" s="106"/>
      <c r="F15" s="106"/>
      <c r="G15" s="106"/>
      <c r="H15" s="105"/>
      <c r="I15" s="106"/>
      <c r="J15" s="106"/>
      <c r="K15" s="28"/>
    </row>
    <row r="16" spans="1:11" x14ac:dyDescent="0.2">
      <c r="A16" s="210">
        <v>9</v>
      </c>
      <c r="B16" s="36" t="s">
        <v>2343</v>
      </c>
      <c r="C16" s="106"/>
      <c r="D16" s="106"/>
      <c r="E16" s="106"/>
      <c r="F16" s="106"/>
      <c r="G16" s="106"/>
      <c r="H16" s="105"/>
      <c r="I16" s="106"/>
      <c r="J16" s="106"/>
      <c r="K16" s="28"/>
    </row>
    <row r="17" spans="1:11" x14ac:dyDescent="0.2">
      <c r="A17" s="210">
        <v>10</v>
      </c>
      <c r="B17" s="36" t="s">
        <v>2344</v>
      </c>
      <c r="C17" s="106"/>
      <c r="D17" s="106"/>
      <c r="E17" s="106"/>
      <c r="F17" s="106"/>
      <c r="G17" s="106"/>
      <c r="H17" s="105"/>
      <c r="I17" s="106"/>
      <c r="J17" s="106"/>
      <c r="K17" s="28"/>
    </row>
    <row r="18" spans="1:11" x14ac:dyDescent="0.2">
      <c r="A18" s="210">
        <v>11</v>
      </c>
      <c r="B18" s="36" t="s">
        <v>2345</v>
      </c>
      <c r="C18" s="106"/>
      <c r="D18" s="106"/>
      <c r="E18" s="106"/>
      <c r="F18" s="106"/>
      <c r="G18" s="106"/>
      <c r="H18" s="105"/>
      <c r="I18" s="106"/>
      <c r="J18" s="106"/>
      <c r="K18" s="28"/>
    </row>
    <row r="19" spans="1:11" x14ac:dyDescent="0.2">
      <c r="A19" s="210">
        <v>12</v>
      </c>
      <c r="B19" s="36" t="s">
        <v>2346</v>
      </c>
      <c r="C19" s="106"/>
      <c r="D19" s="106"/>
      <c r="E19" s="106"/>
      <c r="F19" s="106"/>
      <c r="G19" s="106"/>
      <c r="H19" s="105"/>
      <c r="I19" s="106"/>
      <c r="J19" s="106"/>
      <c r="K19" s="28"/>
    </row>
    <row r="20" spans="1:11" x14ac:dyDescent="0.2">
      <c r="A20" s="210">
        <v>13</v>
      </c>
      <c r="B20" s="36" t="s">
        <v>2347</v>
      </c>
      <c r="C20" s="106"/>
      <c r="D20" s="106"/>
      <c r="E20" s="106"/>
      <c r="F20" s="106"/>
      <c r="G20" s="106"/>
      <c r="H20" s="105"/>
      <c r="I20" s="106"/>
      <c r="J20" s="106"/>
      <c r="K20" s="28"/>
    </row>
    <row r="21" spans="1:11" x14ac:dyDescent="0.2">
      <c r="A21" s="210">
        <v>14</v>
      </c>
      <c r="B21" s="36" t="s">
        <v>2348</v>
      </c>
      <c r="C21" s="106"/>
      <c r="D21" s="106"/>
      <c r="E21" s="106"/>
      <c r="F21" s="106"/>
      <c r="G21" s="106"/>
      <c r="H21" s="105"/>
      <c r="I21" s="106"/>
      <c r="J21" s="106"/>
      <c r="K21" s="28"/>
    </row>
    <row r="22" spans="1:11" x14ac:dyDescent="0.2">
      <c r="A22" s="210">
        <v>15</v>
      </c>
      <c r="B22" s="36" t="s">
        <v>2349</v>
      </c>
      <c r="C22" s="106"/>
      <c r="D22" s="106"/>
      <c r="E22" s="106"/>
      <c r="F22" s="106"/>
      <c r="G22" s="106"/>
      <c r="H22" s="105"/>
      <c r="I22" s="106"/>
      <c r="J22" s="106"/>
      <c r="K22" s="28"/>
    </row>
    <row r="23" spans="1:11" x14ac:dyDescent="0.2">
      <c r="A23" s="210">
        <v>16</v>
      </c>
      <c r="B23" s="36" t="s">
        <v>2350</v>
      </c>
      <c r="C23" s="106"/>
      <c r="D23" s="106"/>
      <c r="E23" s="106"/>
      <c r="F23" s="106"/>
      <c r="G23" s="106"/>
      <c r="H23" s="105"/>
      <c r="I23" s="106"/>
      <c r="J23" s="106"/>
      <c r="K23" s="28"/>
    </row>
    <row r="24" spans="1:11" x14ac:dyDescent="0.2">
      <c r="A24" s="210">
        <v>17</v>
      </c>
      <c r="B24" s="36" t="s">
        <v>2351</v>
      </c>
      <c r="C24" s="106"/>
      <c r="D24" s="106"/>
      <c r="E24" s="106"/>
      <c r="F24" s="106"/>
      <c r="G24" s="106"/>
      <c r="H24" s="105"/>
      <c r="I24" s="106"/>
      <c r="J24" s="106"/>
      <c r="K24" s="28"/>
    </row>
    <row r="25" spans="1:11" x14ac:dyDescent="0.2">
      <c r="A25" s="210">
        <v>18</v>
      </c>
      <c r="B25" s="36" t="s">
        <v>2352</v>
      </c>
      <c r="C25" s="106"/>
      <c r="D25" s="106"/>
      <c r="E25" s="106"/>
      <c r="F25" s="106"/>
      <c r="G25" s="106"/>
      <c r="H25" s="105"/>
      <c r="I25" s="106"/>
      <c r="J25" s="106"/>
      <c r="K25" s="28"/>
    </row>
    <row r="26" spans="1:11" x14ac:dyDescent="0.2">
      <c r="A26" s="210">
        <v>19</v>
      </c>
      <c r="B26" s="36" t="s">
        <v>2353</v>
      </c>
      <c r="C26" s="106"/>
      <c r="D26" s="106"/>
      <c r="E26" s="106"/>
      <c r="F26" s="106"/>
      <c r="G26" s="106"/>
      <c r="H26" s="105"/>
      <c r="I26" s="106"/>
      <c r="J26" s="106"/>
      <c r="K26" s="28"/>
    </row>
    <row r="27" spans="1:11" x14ac:dyDescent="0.2">
      <c r="A27" s="210">
        <v>20</v>
      </c>
      <c r="B27" s="36" t="s">
        <v>2354</v>
      </c>
      <c r="C27" s="106"/>
      <c r="D27" s="106"/>
      <c r="E27" s="106"/>
      <c r="F27" s="106"/>
      <c r="G27" s="106"/>
      <c r="H27" s="105"/>
      <c r="I27" s="106"/>
      <c r="J27" s="106"/>
      <c r="K27" s="28"/>
    </row>
    <row r="28" spans="1:11" x14ac:dyDescent="0.2">
      <c r="A28" s="210">
        <v>21</v>
      </c>
      <c r="B28" s="36" t="s">
        <v>2355</v>
      </c>
      <c r="C28" s="106"/>
      <c r="D28" s="106"/>
      <c r="E28" s="106"/>
      <c r="F28" s="106"/>
      <c r="G28" s="106"/>
      <c r="H28" s="105"/>
      <c r="I28" s="106"/>
      <c r="J28" s="106"/>
      <c r="K28" s="28"/>
    </row>
    <row r="29" spans="1:11" x14ac:dyDescent="0.2">
      <c r="A29" s="210">
        <v>22</v>
      </c>
      <c r="B29" s="36" t="s">
        <v>2356</v>
      </c>
      <c r="C29" s="106"/>
      <c r="D29" s="106"/>
      <c r="E29" s="106"/>
      <c r="F29" s="106"/>
      <c r="G29" s="106"/>
      <c r="H29" s="105"/>
      <c r="I29" s="106"/>
      <c r="J29" s="106"/>
      <c r="K29" s="28"/>
    </row>
    <row r="30" spans="1:11" x14ac:dyDescent="0.2">
      <c r="A30" s="210">
        <v>23</v>
      </c>
      <c r="B30" s="36" t="s">
        <v>2357</v>
      </c>
      <c r="C30" s="106"/>
      <c r="D30" s="106"/>
      <c r="E30" s="106"/>
      <c r="F30" s="106"/>
      <c r="G30" s="106"/>
      <c r="H30" s="105"/>
      <c r="I30" s="106"/>
      <c r="J30" s="106"/>
      <c r="K30" s="28"/>
    </row>
    <row r="31" spans="1:11" x14ac:dyDescent="0.2">
      <c r="A31" s="210">
        <v>24</v>
      </c>
      <c r="B31" s="36" t="s">
        <v>2358</v>
      </c>
      <c r="C31" s="106"/>
      <c r="D31" s="106"/>
      <c r="E31" s="106"/>
      <c r="F31" s="106"/>
      <c r="G31" s="106"/>
      <c r="H31" s="105"/>
      <c r="I31" s="106"/>
      <c r="J31" s="106"/>
      <c r="K31" s="28"/>
    </row>
    <row r="32" spans="1:11" x14ac:dyDescent="0.2">
      <c r="A32" s="210">
        <v>25</v>
      </c>
      <c r="B32" s="36" t="s">
        <v>2359</v>
      </c>
      <c r="C32" s="106"/>
      <c r="D32" s="106"/>
      <c r="E32" s="106"/>
      <c r="F32" s="106"/>
      <c r="G32" s="106"/>
      <c r="H32" s="105"/>
      <c r="I32" s="106"/>
      <c r="J32" s="106"/>
      <c r="K32" s="28"/>
    </row>
    <row r="33" spans="1:11" x14ac:dyDescent="0.2">
      <c r="A33" s="210">
        <v>26</v>
      </c>
      <c r="B33" s="36" t="s">
        <v>2360</v>
      </c>
      <c r="C33" s="106"/>
      <c r="D33" s="106"/>
      <c r="E33" s="106"/>
      <c r="F33" s="106"/>
      <c r="G33" s="106"/>
      <c r="H33" s="105"/>
      <c r="I33" s="106"/>
      <c r="J33" s="106"/>
      <c r="K33" s="28"/>
    </row>
    <row r="34" spans="1:11" x14ac:dyDescent="0.2">
      <c r="A34" s="210">
        <v>27</v>
      </c>
      <c r="B34" s="36" t="s">
        <v>2361</v>
      </c>
      <c r="C34" s="106"/>
      <c r="D34" s="106"/>
      <c r="E34" s="106"/>
      <c r="F34" s="106"/>
      <c r="G34" s="106"/>
      <c r="H34" s="105"/>
      <c r="I34" s="106"/>
      <c r="J34" s="106"/>
      <c r="K34" s="28"/>
    </row>
    <row r="35" spans="1:11" x14ac:dyDescent="0.2">
      <c r="A35" s="211">
        <v>28</v>
      </c>
      <c r="B35" s="212" t="s">
        <v>2362</v>
      </c>
      <c r="C35" s="213"/>
      <c r="D35" s="213"/>
      <c r="E35" s="213"/>
      <c r="F35" s="213"/>
      <c r="G35" s="213"/>
      <c r="H35" s="214"/>
      <c r="I35" s="213"/>
      <c r="J35" s="213"/>
      <c r="K35" s="215"/>
    </row>
    <row r="36" spans="1:11" x14ac:dyDescent="0.2">
      <c r="A36" s="4"/>
      <c r="B36" s="4"/>
      <c r="C36" s="4"/>
      <c r="D36" s="4"/>
      <c r="E36" s="4"/>
      <c r="F36" s="4"/>
      <c r="G36" s="4"/>
      <c r="H36" s="4"/>
      <c r="I36" s="4"/>
      <c r="J36" s="4"/>
      <c r="K36" s="4"/>
    </row>
    <row r="37" spans="1:11" ht="20" customHeight="1" x14ac:dyDescent="0.2">
      <c r="A37" s="245" t="s">
        <v>2102</v>
      </c>
      <c r="B37" s="245"/>
      <c r="C37" s="245"/>
      <c r="D37" s="245"/>
      <c r="E37" s="245"/>
      <c r="F37" s="245"/>
      <c r="G37" s="245"/>
      <c r="H37" s="245"/>
      <c r="I37" s="245"/>
      <c r="J37" s="245"/>
      <c r="K37" s="245"/>
    </row>
    <row r="38" spans="1:11" x14ac:dyDescent="0.2">
      <c r="A38" s="246" t="s">
        <v>2103</v>
      </c>
      <c r="B38" s="246"/>
      <c r="C38" s="246"/>
      <c r="D38" s="246" t="s">
        <v>2104</v>
      </c>
      <c r="E38" s="246"/>
      <c r="F38" s="246"/>
      <c r="G38" s="246" t="s">
        <v>2105</v>
      </c>
      <c r="H38" s="246"/>
      <c r="I38" s="246"/>
      <c r="J38" s="246" t="s">
        <v>973</v>
      </c>
      <c r="K38" s="246"/>
    </row>
    <row r="39" spans="1:11" ht="26" customHeight="1" x14ac:dyDescent="0.2">
      <c r="A39" s="235"/>
      <c r="B39" s="236"/>
      <c r="C39" s="236"/>
      <c r="D39" s="236"/>
      <c r="E39" s="236"/>
      <c r="F39" s="236"/>
      <c r="G39" s="236"/>
      <c r="H39" s="236"/>
      <c r="I39" s="236"/>
      <c r="J39" s="237"/>
      <c r="K39"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9:C39"/>
    <mergeCell ref="D39:F39"/>
    <mergeCell ref="G39:I39"/>
    <mergeCell ref="J39:K39"/>
    <mergeCell ref="A5:B5"/>
    <mergeCell ref="C5:D5"/>
    <mergeCell ref="E5:F5"/>
    <mergeCell ref="G5:H5"/>
    <mergeCell ref="J5:K5"/>
    <mergeCell ref="A6:B6"/>
    <mergeCell ref="J6:K6"/>
    <mergeCell ref="A37:K37"/>
    <mergeCell ref="A38:C38"/>
    <mergeCell ref="D38:F38"/>
    <mergeCell ref="G38:I38"/>
    <mergeCell ref="J38:K38"/>
  </mergeCells>
  <conditionalFormatting sqref="C8:F35">
    <cfRule type="containsText" dxfId="47" priority="3" operator="containsText" text="No">
      <formula>NOT(ISERROR(SEARCH("No",C8)))</formula>
    </cfRule>
  </conditionalFormatting>
  <conditionalFormatting sqref="G8:G35">
    <cfRule type="containsText" dxfId="46" priority="1" operator="containsText" text="Pass">
      <formula>NOT(ISERROR(SEARCH("Pass",G8)))</formula>
    </cfRule>
    <cfRule type="containsText" dxfId="45" priority="2" operator="containsText" text="Fail">
      <formula>NOT(ISERROR(SEARCH("Fail",G8)))</formula>
    </cfRule>
  </conditionalFormatting>
  <dataValidations count="3">
    <dataValidation type="list" allowBlank="1" showInputMessage="1" showErrorMessage="1" sqref="C8:C35 D8:D35 E8:E35 F8:F35" xr:uid="{A57DD863-D6CE-2145-B40D-86278D133ABE}">
      <formula1>"Yes,No,N/A"</formula1>
    </dataValidation>
    <dataValidation type="list" allowBlank="1" showInputMessage="1" showErrorMessage="1" sqref="G8:G35" xr:uid="{B071C2BA-B076-6448-916C-86358368C359}">
      <formula1>"Pass,Fail,N/A"</formula1>
    </dataValidation>
    <dataValidation type="list" allowBlank="1" showInputMessage="1" showErrorMessage="1" sqref="G5" xr:uid="{8F6717E0-D7D4-C74B-85E6-9B3F6ED0002F}">
      <formula1>"1 - Preparatory,2 - Work Readiness,3 - First Work Review,4 - Follow-Up"</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4FCA-2354-284D-9335-105813ADDCBD}">
  <dimension ref="A1:K39"/>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2363</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392</v>
      </c>
      <c r="H3" s="239"/>
      <c r="I3" s="217" t="s">
        <v>207</v>
      </c>
      <c r="J3" s="239" t="s">
        <v>2215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357</v>
      </c>
      <c r="B5" s="239"/>
      <c r="C5" s="240"/>
      <c r="D5" s="240"/>
      <c r="E5" s="240"/>
      <c r="F5" s="240"/>
      <c r="G5" s="240"/>
      <c r="H5" s="240"/>
      <c r="I5" s="216"/>
      <c r="J5" s="241"/>
      <c r="K5" s="240"/>
    </row>
    <row r="6" spans="1:11" ht="20" customHeight="1" x14ac:dyDescent="0.2">
      <c r="A6" s="242" t="s">
        <v>2073</v>
      </c>
      <c r="B6" s="242"/>
      <c r="C6" s="218" t="s">
        <v>2074</v>
      </c>
      <c r="D6" s="219">
        <f>COUNTA($B$8:$B$35)</f>
        <v>28</v>
      </c>
      <c r="E6" s="218" t="s">
        <v>188</v>
      </c>
      <c r="F6" s="219">
        <f>COUNTIF($G$8:$G$35,"Pass")</f>
        <v>0</v>
      </c>
      <c r="G6" s="218" t="s">
        <v>189</v>
      </c>
      <c r="H6" s="219">
        <f>COUNTIF($G$8:$G$35,"Fail")</f>
        <v>0</v>
      </c>
      <c r="I6" s="218" t="s">
        <v>132</v>
      </c>
      <c r="J6" s="243">
        <f>IF($D$6=0,0,($F$6+COUNTIF($G$8:$G$35,"N/A"))/$D$6)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2364</v>
      </c>
      <c r="C8" s="208"/>
      <c r="D8" s="208"/>
      <c r="E8" s="208"/>
      <c r="F8" s="208"/>
      <c r="G8" s="208"/>
      <c r="H8" s="209"/>
      <c r="I8" s="208"/>
      <c r="J8" s="208"/>
      <c r="K8" s="27"/>
    </row>
    <row r="9" spans="1:11" x14ac:dyDescent="0.2">
      <c r="A9" s="210">
        <v>2</v>
      </c>
      <c r="B9" s="36" t="s">
        <v>2365</v>
      </c>
      <c r="C9" s="106"/>
      <c r="D9" s="106"/>
      <c r="E9" s="106"/>
      <c r="F9" s="106"/>
      <c r="G9" s="106"/>
      <c r="H9" s="105"/>
      <c r="I9" s="106"/>
      <c r="J9" s="106"/>
      <c r="K9" s="28"/>
    </row>
    <row r="10" spans="1:11" x14ac:dyDescent="0.2">
      <c r="A10" s="210">
        <v>3</v>
      </c>
      <c r="B10" s="36" t="s">
        <v>2366</v>
      </c>
      <c r="C10" s="106"/>
      <c r="D10" s="106"/>
      <c r="E10" s="106"/>
      <c r="F10" s="106"/>
      <c r="G10" s="106"/>
      <c r="H10" s="105"/>
      <c r="I10" s="106"/>
      <c r="J10" s="106"/>
      <c r="K10" s="28"/>
    </row>
    <row r="11" spans="1:11" x14ac:dyDescent="0.2">
      <c r="A11" s="210">
        <v>4</v>
      </c>
      <c r="B11" s="36" t="s">
        <v>2367</v>
      </c>
      <c r="C11" s="106"/>
      <c r="D11" s="106"/>
      <c r="E11" s="106"/>
      <c r="F11" s="106"/>
      <c r="G11" s="106"/>
      <c r="H11" s="105"/>
      <c r="I11" s="106"/>
      <c r="J11" s="106"/>
      <c r="K11" s="28"/>
    </row>
    <row r="12" spans="1:11" x14ac:dyDescent="0.2">
      <c r="A12" s="210">
        <v>5</v>
      </c>
      <c r="B12" s="36" t="s">
        <v>2368</v>
      </c>
      <c r="C12" s="106"/>
      <c r="D12" s="106"/>
      <c r="E12" s="106"/>
      <c r="F12" s="106"/>
      <c r="G12" s="106"/>
      <c r="H12" s="105"/>
      <c r="I12" s="106"/>
      <c r="J12" s="106"/>
      <c r="K12" s="28"/>
    </row>
    <row r="13" spans="1:11" x14ac:dyDescent="0.2">
      <c r="A13" s="210">
        <v>6</v>
      </c>
      <c r="B13" s="36" t="s">
        <v>2369</v>
      </c>
      <c r="C13" s="106"/>
      <c r="D13" s="106"/>
      <c r="E13" s="106"/>
      <c r="F13" s="106"/>
      <c r="G13" s="106"/>
      <c r="H13" s="105"/>
      <c r="I13" s="106"/>
      <c r="J13" s="106"/>
      <c r="K13" s="28"/>
    </row>
    <row r="14" spans="1:11" x14ac:dyDescent="0.2">
      <c r="A14" s="210">
        <v>7</v>
      </c>
      <c r="B14" s="36" t="s">
        <v>2370</v>
      </c>
      <c r="C14" s="106"/>
      <c r="D14" s="106"/>
      <c r="E14" s="106"/>
      <c r="F14" s="106"/>
      <c r="G14" s="106"/>
      <c r="H14" s="105"/>
      <c r="I14" s="106"/>
      <c r="J14" s="106"/>
      <c r="K14" s="28"/>
    </row>
    <row r="15" spans="1:11" x14ac:dyDescent="0.2">
      <c r="A15" s="210">
        <v>8</v>
      </c>
      <c r="B15" s="36" t="s">
        <v>2371</v>
      </c>
      <c r="C15" s="106"/>
      <c r="D15" s="106"/>
      <c r="E15" s="106"/>
      <c r="F15" s="106"/>
      <c r="G15" s="106"/>
      <c r="H15" s="105"/>
      <c r="I15" s="106"/>
      <c r="J15" s="106"/>
      <c r="K15" s="28"/>
    </row>
    <row r="16" spans="1:11" x14ac:dyDescent="0.2">
      <c r="A16" s="210">
        <v>9</v>
      </c>
      <c r="B16" s="36" t="s">
        <v>2372</v>
      </c>
      <c r="C16" s="106"/>
      <c r="D16" s="106"/>
      <c r="E16" s="106"/>
      <c r="F16" s="106"/>
      <c r="G16" s="106"/>
      <c r="H16" s="105"/>
      <c r="I16" s="106"/>
      <c r="J16" s="106"/>
      <c r="K16" s="28"/>
    </row>
    <row r="17" spans="1:11" x14ac:dyDescent="0.2">
      <c r="A17" s="210">
        <v>10</v>
      </c>
      <c r="B17" s="36" t="s">
        <v>2373</v>
      </c>
      <c r="C17" s="106"/>
      <c r="D17" s="106"/>
      <c r="E17" s="106"/>
      <c r="F17" s="106"/>
      <c r="G17" s="106"/>
      <c r="H17" s="105"/>
      <c r="I17" s="106"/>
      <c r="J17" s="106"/>
      <c r="K17" s="28"/>
    </row>
    <row r="18" spans="1:11" x14ac:dyDescent="0.2">
      <c r="A18" s="210">
        <v>11</v>
      </c>
      <c r="B18" s="36" t="s">
        <v>2374</v>
      </c>
      <c r="C18" s="106"/>
      <c r="D18" s="106"/>
      <c r="E18" s="106"/>
      <c r="F18" s="106"/>
      <c r="G18" s="106"/>
      <c r="H18" s="105"/>
      <c r="I18" s="106"/>
      <c r="J18" s="106"/>
      <c r="K18" s="28"/>
    </row>
    <row r="19" spans="1:11" x14ac:dyDescent="0.2">
      <c r="A19" s="210">
        <v>12</v>
      </c>
      <c r="B19" s="36" t="s">
        <v>2375</v>
      </c>
      <c r="C19" s="106"/>
      <c r="D19" s="106"/>
      <c r="E19" s="106"/>
      <c r="F19" s="106"/>
      <c r="G19" s="106"/>
      <c r="H19" s="105"/>
      <c r="I19" s="106"/>
      <c r="J19" s="106"/>
      <c r="K19" s="28"/>
    </row>
    <row r="20" spans="1:11" x14ac:dyDescent="0.2">
      <c r="A20" s="210">
        <v>13</v>
      </c>
      <c r="B20" s="36" t="s">
        <v>2376</v>
      </c>
      <c r="C20" s="106"/>
      <c r="D20" s="106"/>
      <c r="E20" s="106"/>
      <c r="F20" s="106"/>
      <c r="G20" s="106"/>
      <c r="H20" s="105"/>
      <c r="I20" s="106"/>
      <c r="J20" s="106"/>
      <c r="K20" s="28"/>
    </row>
    <row r="21" spans="1:11" x14ac:dyDescent="0.2">
      <c r="A21" s="210">
        <v>14</v>
      </c>
      <c r="B21" s="36" t="s">
        <v>2377</v>
      </c>
      <c r="C21" s="106"/>
      <c r="D21" s="106"/>
      <c r="E21" s="106"/>
      <c r="F21" s="106"/>
      <c r="G21" s="106"/>
      <c r="H21" s="105"/>
      <c r="I21" s="106"/>
      <c r="J21" s="106"/>
      <c r="K21" s="28"/>
    </row>
    <row r="22" spans="1:11" x14ac:dyDescent="0.2">
      <c r="A22" s="210">
        <v>15</v>
      </c>
      <c r="B22" s="36" t="s">
        <v>2378</v>
      </c>
      <c r="C22" s="106"/>
      <c r="D22" s="106"/>
      <c r="E22" s="106"/>
      <c r="F22" s="106"/>
      <c r="G22" s="106"/>
      <c r="H22" s="105"/>
      <c r="I22" s="106"/>
      <c r="J22" s="106"/>
      <c r="K22" s="28"/>
    </row>
    <row r="23" spans="1:11" x14ac:dyDescent="0.2">
      <c r="A23" s="210">
        <v>16</v>
      </c>
      <c r="B23" s="36" t="s">
        <v>2379</v>
      </c>
      <c r="C23" s="106"/>
      <c r="D23" s="106"/>
      <c r="E23" s="106"/>
      <c r="F23" s="106"/>
      <c r="G23" s="106"/>
      <c r="H23" s="105"/>
      <c r="I23" s="106"/>
      <c r="J23" s="106"/>
      <c r="K23" s="28"/>
    </row>
    <row r="24" spans="1:11" x14ac:dyDescent="0.2">
      <c r="A24" s="210">
        <v>17</v>
      </c>
      <c r="B24" s="36" t="s">
        <v>2380</v>
      </c>
      <c r="C24" s="106"/>
      <c r="D24" s="106"/>
      <c r="E24" s="106"/>
      <c r="F24" s="106"/>
      <c r="G24" s="106"/>
      <c r="H24" s="105"/>
      <c r="I24" s="106"/>
      <c r="J24" s="106"/>
      <c r="K24" s="28"/>
    </row>
    <row r="25" spans="1:11" x14ac:dyDescent="0.2">
      <c r="A25" s="210">
        <v>18</v>
      </c>
      <c r="B25" s="36" t="s">
        <v>2381</v>
      </c>
      <c r="C25" s="106"/>
      <c r="D25" s="106"/>
      <c r="E25" s="106"/>
      <c r="F25" s="106"/>
      <c r="G25" s="106"/>
      <c r="H25" s="105"/>
      <c r="I25" s="106"/>
      <c r="J25" s="106"/>
      <c r="K25" s="28"/>
    </row>
    <row r="26" spans="1:11" x14ac:dyDescent="0.2">
      <c r="A26" s="210">
        <v>19</v>
      </c>
      <c r="B26" s="36" t="s">
        <v>2382</v>
      </c>
      <c r="C26" s="106"/>
      <c r="D26" s="106"/>
      <c r="E26" s="106"/>
      <c r="F26" s="106"/>
      <c r="G26" s="106"/>
      <c r="H26" s="105"/>
      <c r="I26" s="106"/>
      <c r="J26" s="106"/>
      <c r="K26" s="28"/>
    </row>
    <row r="27" spans="1:11" x14ac:dyDescent="0.2">
      <c r="A27" s="210">
        <v>20</v>
      </c>
      <c r="B27" s="36" t="s">
        <v>2383</v>
      </c>
      <c r="C27" s="106"/>
      <c r="D27" s="106"/>
      <c r="E27" s="106"/>
      <c r="F27" s="106"/>
      <c r="G27" s="106"/>
      <c r="H27" s="105"/>
      <c r="I27" s="106"/>
      <c r="J27" s="106"/>
      <c r="K27" s="28"/>
    </row>
    <row r="28" spans="1:11" x14ac:dyDescent="0.2">
      <c r="A28" s="210">
        <v>21</v>
      </c>
      <c r="B28" s="36" t="s">
        <v>2384</v>
      </c>
      <c r="C28" s="106"/>
      <c r="D28" s="106"/>
      <c r="E28" s="106"/>
      <c r="F28" s="106"/>
      <c r="G28" s="106"/>
      <c r="H28" s="105"/>
      <c r="I28" s="106"/>
      <c r="J28" s="106"/>
      <c r="K28" s="28"/>
    </row>
    <row r="29" spans="1:11" x14ac:dyDescent="0.2">
      <c r="A29" s="210">
        <v>22</v>
      </c>
      <c r="B29" s="36" t="s">
        <v>2385</v>
      </c>
      <c r="C29" s="106"/>
      <c r="D29" s="106"/>
      <c r="E29" s="106"/>
      <c r="F29" s="106"/>
      <c r="G29" s="106"/>
      <c r="H29" s="105"/>
      <c r="I29" s="106"/>
      <c r="J29" s="106"/>
      <c r="K29" s="28"/>
    </row>
    <row r="30" spans="1:11" x14ac:dyDescent="0.2">
      <c r="A30" s="210">
        <v>23</v>
      </c>
      <c r="B30" s="36" t="s">
        <v>2386</v>
      </c>
      <c r="C30" s="106"/>
      <c r="D30" s="106"/>
      <c r="E30" s="106"/>
      <c r="F30" s="106"/>
      <c r="G30" s="106"/>
      <c r="H30" s="105"/>
      <c r="I30" s="106"/>
      <c r="J30" s="106"/>
      <c r="K30" s="28"/>
    </row>
    <row r="31" spans="1:11" x14ac:dyDescent="0.2">
      <c r="A31" s="210">
        <v>24</v>
      </c>
      <c r="B31" s="36" t="s">
        <v>2387</v>
      </c>
      <c r="C31" s="106"/>
      <c r="D31" s="106"/>
      <c r="E31" s="106"/>
      <c r="F31" s="106"/>
      <c r="G31" s="106"/>
      <c r="H31" s="105"/>
      <c r="I31" s="106"/>
      <c r="J31" s="106"/>
      <c r="K31" s="28"/>
    </row>
    <row r="32" spans="1:11" x14ac:dyDescent="0.2">
      <c r="A32" s="210">
        <v>25</v>
      </c>
      <c r="B32" s="36" t="s">
        <v>2388</v>
      </c>
      <c r="C32" s="106"/>
      <c r="D32" s="106"/>
      <c r="E32" s="106"/>
      <c r="F32" s="106"/>
      <c r="G32" s="106"/>
      <c r="H32" s="105"/>
      <c r="I32" s="106"/>
      <c r="J32" s="106"/>
      <c r="K32" s="28"/>
    </row>
    <row r="33" spans="1:11" x14ac:dyDescent="0.2">
      <c r="A33" s="210">
        <v>26</v>
      </c>
      <c r="B33" s="36" t="s">
        <v>2389</v>
      </c>
      <c r="C33" s="106"/>
      <c r="D33" s="106"/>
      <c r="E33" s="106"/>
      <c r="F33" s="106"/>
      <c r="G33" s="106"/>
      <c r="H33" s="105"/>
      <c r="I33" s="106"/>
      <c r="J33" s="106"/>
      <c r="K33" s="28"/>
    </row>
    <row r="34" spans="1:11" x14ac:dyDescent="0.2">
      <c r="A34" s="210">
        <v>27</v>
      </c>
      <c r="B34" s="36" t="s">
        <v>2390</v>
      </c>
      <c r="C34" s="106"/>
      <c r="D34" s="106"/>
      <c r="E34" s="106"/>
      <c r="F34" s="106"/>
      <c r="G34" s="106"/>
      <c r="H34" s="105"/>
      <c r="I34" s="106"/>
      <c r="J34" s="106"/>
      <c r="K34" s="28"/>
    </row>
    <row r="35" spans="1:11" x14ac:dyDescent="0.2">
      <c r="A35" s="211">
        <v>28</v>
      </c>
      <c r="B35" s="212" t="s">
        <v>2391</v>
      </c>
      <c r="C35" s="213"/>
      <c r="D35" s="213"/>
      <c r="E35" s="213"/>
      <c r="F35" s="213"/>
      <c r="G35" s="213"/>
      <c r="H35" s="214"/>
      <c r="I35" s="213"/>
      <c r="J35" s="213"/>
      <c r="K35" s="215"/>
    </row>
    <row r="36" spans="1:11" x14ac:dyDescent="0.2">
      <c r="A36" s="4"/>
      <c r="B36" s="4"/>
      <c r="C36" s="4"/>
      <c r="D36" s="4"/>
      <c r="E36" s="4"/>
      <c r="F36" s="4"/>
      <c r="G36" s="4"/>
      <c r="H36" s="4"/>
      <c r="I36" s="4"/>
      <c r="J36" s="4"/>
      <c r="K36" s="4"/>
    </row>
    <row r="37" spans="1:11" ht="20" customHeight="1" x14ac:dyDescent="0.2">
      <c r="A37" s="245" t="s">
        <v>2102</v>
      </c>
      <c r="B37" s="245"/>
      <c r="C37" s="245"/>
      <c r="D37" s="245"/>
      <c r="E37" s="245"/>
      <c r="F37" s="245"/>
      <c r="G37" s="245"/>
      <c r="H37" s="245"/>
      <c r="I37" s="245"/>
      <c r="J37" s="245"/>
      <c r="K37" s="245"/>
    </row>
    <row r="38" spans="1:11" x14ac:dyDescent="0.2">
      <c r="A38" s="246" t="s">
        <v>2103</v>
      </c>
      <c r="B38" s="246"/>
      <c r="C38" s="246"/>
      <c r="D38" s="246" t="s">
        <v>2104</v>
      </c>
      <c r="E38" s="246"/>
      <c r="F38" s="246"/>
      <c r="G38" s="246" t="s">
        <v>2105</v>
      </c>
      <c r="H38" s="246"/>
      <c r="I38" s="246"/>
      <c r="J38" s="246" t="s">
        <v>973</v>
      </c>
      <c r="K38" s="246"/>
    </row>
    <row r="39" spans="1:11" ht="26" customHeight="1" x14ac:dyDescent="0.2">
      <c r="A39" s="235"/>
      <c r="B39" s="236"/>
      <c r="C39" s="236"/>
      <c r="D39" s="236"/>
      <c r="E39" s="236"/>
      <c r="F39" s="236"/>
      <c r="G39" s="236"/>
      <c r="H39" s="236"/>
      <c r="I39" s="236"/>
      <c r="J39" s="237"/>
      <c r="K39"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9:C39"/>
    <mergeCell ref="D39:F39"/>
    <mergeCell ref="G39:I39"/>
    <mergeCell ref="J39:K39"/>
    <mergeCell ref="A5:B5"/>
    <mergeCell ref="C5:D5"/>
    <mergeCell ref="E5:F5"/>
    <mergeCell ref="G5:H5"/>
    <mergeCell ref="J5:K5"/>
    <mergeCell ref="A6:B6"/>
    <mergeCell ref="J6:K6"/>
    <mergeCell ref="A37:K37"/>
    <mergeCell ref="A38:C38"/>
    <mergeCell ref="D38:F38"/>
    <mergeCell ref="G38:I38"/>
    <mergeCell ref="J38:K38"/>
  </mergeCells>
  <conditionalFormatting sqref="C8:F35">
    <cfRule type="containsText" dxfId="44" priority="3" operator="containsText" text="No">
      <formula>NOT(ISERROR(SEARCH("No",C8)))</formula>
    </cfRule>
  </conditionalFormatting>
  <conditionalFormatting sqref="G8:G35">
    <cfRule type="containsText" dxfId="43" priority="1" operator="containsText" text="Pass">
      <formula>NOT(ISERROR(SEARCH("Pass",G8)))</formula>
    </cfRule>
    <cfRule type="containsText" dxfId="42" priority="2" operator="containsText" text="Fail">
      <formula>NOT(ISERROR(SEARCH("Fail",G8)))</formula>
    </cfRule>
  </conditionalFormatting>
  <dataValidations count="3">
    <dataValidation type="list" allowBlank="1" showInputMessage="1" showErrorMessage="1" sqref="C8:C35 D8:D35 E8:E35 F8:F35" xr:uid="{AF0A779E-D175-8840-863F-F6A5D1114A2D}">
      <formula1>"Yes,No,N/A"</formula1>
    </dataValidation>
    <dataValidation type="list" allowBlank="1" showInputMessage="1" showErrorMessage="1" sqref="G8:G35" xr:uid="{9DF294BD-1F86-E64B-93DD-8D8D9942D910}">
      <formula1>"Pass,Fail,N/A"</formula1>
    </dataValidation>
    <dataValidation type="list" allowBlank="1" showInputMessage="1" showErrorMessage="1" sqref="G5" xr:uid="{355700EC-D5A3-0B49-9DB3-04C44F6FC0BC}">
      <formula1>"1 - Preparatory,2 - Work Readiness,3 - First Work Review,4 - Follow-Up"</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A1E5-CAB3-BC4B-91F2-EFB792ED1A20}">
  <dimension ref="A1:K33"/>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2392</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373</v>
      </c>
      <c r="H3" s="239"/>
      <c r="I3" s="217" t="s">
        <v>209</v>
      </c>
      <c r="J3" s="239" t="s">
        <v>2066</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2393</v>
      </c>
      <c r="B5" s="239"/>
      <c r="C5" s="240"/>
      <c r="D5" s="240"/>
      <c r="E5" s="240"/>
      <c r="F5" s="240"/>
      <c r="G5" s="240"/>
      <c r="H5" s="240"/>
      <c r="I5" s="216"/>
      <c r="J5" s="241"/>
      <c r="K5" s="240"/>
    </row>
    <row r="6" spans="1:11" ht="20" customHeight="1" x14ac:dyDescent="0.2">
      <c r="A6" s="242" t="s">
        <v>2073</v>
      </c>
      <c r="B6" s="242"/>
      <c r="C6" s="218" t="s">
        <v>2074</v>
      </c>
      <c r="D6" s="219">
        <f>COUNTA($B$8:$B$29)</f>
        <v>22</v>
      </c>
      <c r="E6" s="218" t="s">
        <v>188</v>
      </c>
      <c r="F6" s="219">
        <f>COUNTIF($G$8:$G$29,"Pass")</f>
        <v>0</v>
      </c>
      <c r="G6" s="218" t="s">
        <v>189</v>
      </c>
      <c r="H6" s="219">
        <f>COUNTIF($G$8:$G$29,"Fail")</f>
        <v>0</v>
      </c>
      <c r="I6" s="218" t="s">
        <v>132</v>
      </c>
      <c r="J6" s="243">
        <f>IF($D$6=0,0,($F$6+COUNTIF($G$8:$G$29,"N/A"))/$D$6)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2394</v>
      </c>
      <c r="C8" s="208"/>
      <c r="D8" s="208"/>
      <c r="E8" s="208"/>
      <c r="F8" s="208"/>
      <c r="G8" s="208"/>
      <c r="H8" s="209"/>
      <c r="I8" s="208"/>
      <c r="J8" s="208"/>
      <c r="K8" s="27"/>
    </row>
    <row r="9" spans="1:11" x14ac:dyDescent="0.2">
      <c r="A9" s="210">
        <v>2</v>
      </c>
      <c r="B9" s="36" t="s">
        <v>2395</v>
      </c>
      <c r="C9" s="106"/>
      <c r="D9" s="106"/>
      <c r="E9" s="106"/>
      <c r="F9" s="106"/>
      <c r="G9" s="106"/>
      <c r="H9" s="105"/>
      <c r="I9" s="106"/>
      <c r="J9" s="106"/>
      <c r="K9" s="28"/>
    </row>
    <row r="10" spans="1:11" x14ac:dyDescent="0.2">
      <c r="A10" s="210">
        <v>3</v>
      </c>
      <c r="B10" s="36" t="s">
        <v>2396</v>
      </c>
      <c r="C10" s="106"/>
      <c r="D10" s="106"/>
      <c r="E10" s="106"/>
      <c r="F10" s="106"/>
      <c r="G10" s="106"/>
      <c r="H10" s="105"/>
      <c r="I10" s="106"/>
      <c r="J10" s="106"/>
      <c r="K10" s="28"/>
    </row>
    <row r="11" spans="1:11" x14ac:dyDescent="0.2">
      <c r="A11" s="210">
        <v>4</v>
      </c>
      <c r="B11" s="36" t="s">
        <v>2397</v>
      </c>
      <c r="C11" s="106"/>
      <c r="D11" s="106"/>
      <c r="E11" s="106"/>
      <c r="F11" s="106"/>
      <c r="G11" s="106"/>
      <c r="H11" s="105"/>
      <c r="I11" s="106"/>
      <c r="J11" s="106"/>
      <c r="K11" s="28"/>
    </row>
    <row r="12" spans="1:11" x14ac:dyDescent="0.2">
      <c r="A12" s="210">
        <v>5</v>
      </c>
      <c r="B12" s="36" t="s">
        <v>2398</v>
      </c>
      <c r="C12" s="106"/>
      <c r="D12" s="106"/>
      <c r="E12" s="106"/>
      <c r="F12" s="106"/>
      <c r="G12" s="106"/>
      <c r="H12" s="105"/>
      <c r="I12" s="106"/>
      <c r="J12" s="106"/>
      <c r="K12" s="28"/>
    </row>
    <row r="13" spans="1:11" x14ac:dyDescent="0.2">
      <c r="A13" s="210">
        <v>6</v>
      </c>
      <c r="B13" s="36" t="s">
        <v>2399</v>
      </c>
      <c r="C13" s="106"/>
      <c r="D13" s="106"/>
      <c r="E13" s="106"/>
      <c r="F13" s="106"/>
      <c r="G13" s="106"/>
      <c r="H13" s="105"/>
      <c r="I13" s="106"/>
      <c r="J13" s="106"/>
      <c r="K13" s="28"/>
    </row>
    <row r="14" spans="1:11" x14ac:dyDescent="0.2">
      <c r="A14" s="210">
        <v>7</v>
      </c>
      <c r="B14" s="36" t="s">
        <v>2400</v>
      </c>
      <c r="C14" s="106"/>
      <c r="D14" s="106"/>
      <c r="E14" s="106"/>
      <c r="F14" s="106"/>
      <c r="G14" s="106"/>
      <c r="H14" s="105"/>
      <c r="I14" s="106"/>
      <c r="J14" s="106"/>
      <c r="K14" s="28"/>
    </row>
    <row r="15" spans="1:11" x14ac:dyDescent="0.2">
      <c r="A15" s="210">
        <v>8</v>
      </c>
      <c r="B15" s="36" t="s">
        <v>2401</v>
      </c>
      <c r="C15" s="106"/>
      <c r="D15" s="106"/>
      <c r="E15" s="106"/>
      <c r="F15" s="106"/>
      <c r="G15" s="106"/>
      <c r="H15" s="105"/>
      <c r="I15" s="106"/>
      <c r="J15" s="106"/>
      <c r="K15" s="28"/>
    </row>
    <row r="16" spans="1:11" x14ac:dyDescent="0.2">
      <c r="A16" s="210">
        <v>9</v>
      </c>
      <c r="B16" s="36" t="s">
        <v>2402</v>
      </c>
      <c r="C16" s="106"/>
      <c r="D16" s="106"/>
      <c r="E16" s="106"/>
      <c r="F16" s="106"/>
      <c r="G16" s="106"/>
      <c r="H16" s="105"/>
      <c r="I16" s="106"/>
      <c r="J16" s="106"/>
      <c r="K16" s="28"/>
    </row>
    <row r="17" spans="1:11" x14ac:dyDescent="0.2">
      <c r="A17" s="210">
        <v>10</v>
      </c>
      <c r="B17" s="36" t="s">
        <v>2403</v>
      </c>
      <c r="C17" s="106"/>
      <c r="D17" s="106"/>
      <c r="E17" s="106"/>
      <c r="F17" s="106"/>
      <c r="G17" s="106"/>
      <c r="H17" s="105"/>
      <c r="I17" s="106"/>
      <c r="J17" s="106"/>
      <c r="K17" s="28"/>
    </row>
    <row r="18" spans="1:11" x14ac:dyDescent="0.2">
      <c r="A18" s="210">
        <v>11</v>
      </c>
      <c r="B18" s="36" t="s">
        <v>2404</v>
      </c>
      <c r="C18" s="106"/>
      <c r="D18" s="106"/>
      <c r="E18" s="106"/>
      <c r="F18" s="106"/>
      <c r="G18" s="106"/>
      <c r="H18" s="105"/>
      <c r="I18" s="106"/>
      <c r="J18" s="106"/>
      <c r="K18" s="28"/>
    </row>
    <row r="19" spans="1:11" x14ac:dyDescent="0.2">
      <c r="A19" s="210">
        <v>12</v>
      </c>
      <c r="B19" s="36" t="s">
        <v>2405</v>
      </c>
      <c r="C19" s="106"/>
      <c r="D19" s="106"/>
      <c r="E19" s="106"/>
      <c r="F19" s="106"/>
      <c r="G19" s="106"/>
      <c r="H19" s="105"/>
      <c r="I19" s="106"/>
      <c r="J19" s="106"/>
      <c r="K19" s="28"/>
    </row>
    <row r="20" spans="1:11" x14ac:dyDescent="0.2">
      <c r="A20" s="210">
        <v>13</v>
      </c>
      <c r="B20" s="36" t="s">
        <v>2406</v>
      </c>
      <c r="C20" s="106"/>
      <c r="D20" s="106"/>
      <c r="E20" s="106"/>
      <c r="F20" s="106"/>
      <c r="G20" s="106"/>
      <c r="H20" s="105"/>
      <c r="I20" s="106"/>
      <c r="J20" s="106"/>
      <c r="K20" s="28"/>
    </row>
    <row r="21" spans="1:11" x14ac:dyDescent="0.2">
      <c r="A21" s="210">
        <v>14</v>
      </c>
      <c r="B21" s="36" t="s">
        <v>2407</v>
      </c>
      <c r="C21" s="106"/>
      <c r="D21" s="106"/>
      <c r="E21" s="106"/>
      <c r="F21" s="106"/>
      <c r="G21" s="106"/>
      <c r="H21" s="105"/>
      <c r="I21" s="106"/>
      <c r="J21" s="106"/>
      <c r="K21" s="28"/>
    </row>
    <row r="22" spans="1:11" x14ac:dyDescent="0.2">
      <c r="A22" s="210">
        <v>15</v>
      </c>
      <c r="B22" s="36" t="s">
        <v>2408</v>
      </c>
      <c r="C22" s="106"/>
      <c r="D22" s="106"/>
      <c r="E22" s="106"/>
      <c r="F22" s="106"/>
      <c r="G22" s="106"/>
      <c r="H22" s="105"/>
      <c r="I22" s="106"/>
      <c r="J22" s="106"/>
      <c r="K22" s="28"/>
    </row>
    <row r="23" spans="1:11" x14ac:dyDescent="0.2">
      <c r="A23" s="210">
        <v>16</v>
      </c>
      <c r="B23" s="36" t="s">
        <v>2409</v>
      </c>
      <c r="C23" s="106"/>
      <c r="D23" s="106"/>
      <c r="E23" s="106"/>
      <c r="F23" s="106"/>
      <c r="G23" s="106"/>
      <c r="H23" s="105"/>
      <c r="I23" s="106"/>
      <c r="J23" s="106"/>
      <c r="K23" s="28"/>
    </row>
    <row r="24" spans="1:11" x14ac:dyDescent="0.2">
      <c r="A24" s="210">
        <v>17</v>
      </c>
      <c r="B24" s="36" t="s">
        <v>2410</v>
      </c>
      <c r="C24" s="106"/>
      <c r="D24" s="106"/>
      <c r="E24" s="106"/>
      <c r="F24" s="106"/>
      <c r="G24" s="106"/>
      <c r="H24" s="105"/>
      <c r="I24" s="106"/>
      <c r="J24" s="106"/>
      <c r="K24" s="28"/>
    </row>
    <row r="25" spans="1:11" x14ac:dyDescent="0.2">
      <c r="A25" s="210">
        <v>18</v>
      </c>
      <c r="B25" s="36" t="s">
        <v>2411</v>
      </c>
      <c r="C25" s="106"/>
      <c r="D25" s="106"/>
      <c r="E25" s="106"/>
      <c r="F25" s="106"/>
      <c r="G25" s="106"/>
      <c r="H25" s="105"/>
      <c r="I25" s="106"/>
      <c r="J25" s="106"/>
      <c r="K25" s="28"/>
    </row>
    <row r="26" spans="1:11" x14ac:dyDescent="0.2">
      <c r="A26" s="210">
        <v>19</v>
      </c>
      <c r="B26" s="36" t="s">
        <v>2412</v>
      </c>
      <c r="C26" s="106"/>
      <c r="D26" s="106"/>
      <c r="E26" s="106"/>
      <c r="F26" s="106"/>
      <c r="G26" s="106"/>
      <c r="H26" s="105"/>
      <c r="I26" s="106"/>
      <c r="J26" s="106"/>
      <c r="K26" s="28"/>
    </row>
    <row r="27" spans="1:11" x14ac:dyDescent="0.2">
      <c r="A27" s="210">
        <v>20</v>
      </c>
      <c r="B27" s="36" t="s">
        <v>2413</v>
      </c>
      <c r="C27" s="106"/>
      <c r="D27" s="106"/>
      <c r="E27" s="106"/>
      <c r="F27" s="106"/>
      <c r="G27" s="106"/>
      <c r="H27" s="105"/>
      <c r="I27" s="106"/>
      <c r="J27" s="106"/>
      <c r="K27" s="28"/>
    </row>
    <row r="28" spans="1:11" x14ac:dyDescent="0.2">
      <c r="A28" s="210">
        <v>21</v>
      </c>
      <c r="B28" s="36" t="s">
        <v>2414</v>
      </c>
      <c r="C28" s="106"/>
      <c r="D28" s="106"/>
      <c r="E28" s="106"/>
      <c r="F28" s="106"/>
      <c r="G28" s="106"/>
      <c r="H28" s="105"/>
      <c r="I28" s="106"/>
      <c r="J28" s="106"/>
      <c r="K28" s="28"/>
    </row>
    <row r="29" spans="1:11" x14ac:dyDescent="0.2">
      <c r="A29" s="211">
        <v>22</v>
      </c>
      <c r="B29" s="212" t="s">
        <v>2415</v>
      </c>
      <c r="C29" s="213"/>
      <c r="D29" s="213"/>
      <c r="E29" s="213"/>
      <c r="F29" s="213"/>
      <c r="G29" s="213"/>
      <c r="H29" s="214"/>
      <c r="I29" s="213"/>
      <c r="J29" s="213"/>
      <c r="K29" s="215"/>
    </row>
    <row r="30" spans="1:11" x14ac:dyDescent="0.2">
      <c r="A30" s="4"/>
      <c r="B30" s="4"/>
      <c r="C30" s="4"/>
      <c r="D30" s="4"/>
      <c r="E30" s="4"/>
      <c r="F30" s="4"/>
      <c r="G30" s="4"/>
      <c r="H30" s="4"/>
      <c r="I30" s="4"/>
      <c r="J30" s="4"/>
      <c r="K30" s="4"/>
    </row>
    <row r="31" spans="1:11" ht="20" customHeight="1" x14ac:dyDescent="0.2">
      <c r="A31" s="245" t="s">
        <v>2102</v>
      </c>
      <c r="B31" s="245"/>
      <c r="C31" s="245"/>
      <c r="D31" s="245"/>
      <c r="E31" s="245"/>
      <c r="F31" s="245"/>
      <c r="G31" s="245"/>
      <c r="H31" s="245"/>
      <c r="I31" s="245"/>
      <c r="J31" s="245"/>
      <c r="K31" s="245"/>
    </row>
    <row r="32" spans="1:11" x14ac:dyDescent="0.2">
      <c r="A32" s="246" t="s">
        <v>2103</v>
      </c>
      <c r="B32" s="246"/>
      <c r="C32" s="246"/>
      <c r="D32" s="246" t="s">
        <v>2104</v>
      </c>
      <c r="E32" s="246"/>
      <c r="F32" s="246"/>
      <c r="G32" s="246" t="s">
        <v>2105</v>
      </c>
      <c r="H32" s="246"/>
      <c r="I32" s="246"/>
      <c r="J32" s="246" t="s">
        <v>973</v>
      </c>
      <c r="K32" s="246"/>
    </row>
    <row r="33" spans="1:11" ht="26" customHeight="1" x14ac:dyDescent="0.2">
      <c r="A33" s="235"/>
      <c r="B33" s="236"/>
      <c r="C33" s="236"/>
      <c r="D33" s="236"/>
      <c r="E33" s="236"/>
      <c r="F33" s="236"/>
      <c r="G33" s="236"/>
      <c r="H33" s="236"/>
      <c r="I33" s="236"/>
      <c r="J33" s="237"/>
      <c r="K33"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3:C33"/>
    <mergeCell ref="D33:F33"/>
    <mergeCell ref="G33:I33"/>
    <mergeCell ref="J33:K33"/>
    <mergeCell ref="A5:B5"/>
    <mergeCell ref="C5:D5"/>
    <mergeCell ref="E5:F5"/>
    <mergeCell ref="G5:H5"/>
    <mergeCell ref="J5:K5"/>
    <mergeCell ref="A6:B6"/>
    <mergeCell ref="J6:K6"/>
    <mergeCell ref="A31:K31"/>
    <mergeCell ref="A32:C32"/>
    <mergeCell ref="D32:F32"/>
    <mergeCell ref="G32:I32"/>
    <mergeCell ref="J32:K32"/>
  </mergeCells>
  <conditionalFormatting sqref="C8:F29">
    <cfRule type="containsText" dxfId="41" priority="3" operator="containsText" text="No">
      <formula>NOT(ISERROR(SEARCH("No",C8)))</formula>
    </cfRule>
  </conditionalFormatting>
  <conditionalFormatting sqref="G8:G29">
    <cfRule type="containsText" dxfId="40" priority="1" operator="containsText" text="Pass">
      <formula>NOT(ISERROR(SEARCH("Pass",G8)))</formula>
    </cfRule>
    <cfRule type="containsText" dxfId="39" priority="2" operator="containsText" text="Fail">
      <formula>NOT(ISERROR(SEARCH("Fail",G8)))</formula>
    </cfRule>
  </conditionalFormatting>
  <dataValidations count="3">
    <dataValidation type="list" allowBlank="1" showInputMessage="1" showErrorMessage="1" sqref="C8:C29 D8:D29 E8:E29 F8:F29" xr:uid="{A573B199-D8AB-FD48-8E88-EADCDAFF17E7}">
      <formula1>"Yes,No,N/A"</formula1>
    </dataValidation>
    <dataValidation type="list" allowBlank="1" showInputMessage="1" showErrorMessage="1" sqref="G8:G29" xr:uid="{24F8E65D-C7BB-5D44-915C-BB7BDC45C194}">
      <formula1>"Pass,Fail,N/A"</formula1>
    </dataValidation>
    <dataValidation type="list" allowBlank="1" showInputMessage="1" showErrorMessage="1" sqref="G5" xr:uid="{A85A64B8-BD68-EC42-976D-7F0C2C7D1BAC}">
      <formula1>"1 - Preparatory,2 - Work Readiness,3 - First Work Review,4 - Follow-Up"</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2E7A2-04A5-EA42-B9A1-A1DE7039D74D}">
  <dimension ref="A1:K28"/>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2416</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2417</v>
      </c>
      <c r="H3" s="239"/>
      <c r="I3" s="217" t="s">
        <v>211</v>
      </c>
      <c r="J3" s="239" t="s">
        <v>2215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314</v>
      </c>
      <c r="B5" s="239"/>
      <c r="C5" s="240"/>
      <c r="D5" s="240"/>
      <c r="E5" s="240"/>
      <c r="F5" s="240"/>
      <c r="G5" s="240"/>
      <c r="H5" s="240"/>
      <c r="I5" s="216"/>
      <c r="J5" s="241"/>
      <c r="K5" s="240"/>
    </row>
    <row r="6" spans="1:11" ht="20" customHeight="1" x14ac:dyDescent="0.2">
      <c r="A6" s="242" t="s">
        <v>2073</v>
      </c>
      <c r="B6" s="242"/>
      <c r="C6" s="218" t="s">
        <v>2074</v>
      </c>
      <c r="D6" s="219">
        <f>COUNTA($B$8:$B$24)</f>
        <v>17</v>
      </c>
      <c r="E6" s="218" t="s">
        <v>188</v>
      </c>
      <c r="F6" s="219">
        <f>COUNTIF($G$8:$G$24,"Pass")</f>
        <v>0</v>
      </c>
      <c r="G6" s="218" t="s">
        <v>189</v>
      </c>
      <c r="H6" s="219">
        <f>COUNTIF($G$8:$G$24,"Fail")</f>
        <v>0</v>
      </c>
      <c r="I6" s="218" t="s">
        <v>132</v>
      </c>
      <c r="J6" s="243">
        <f>IF($D$6=0,0,($F$6+COUNTIF($G$8:$G$24,"N/A"))/$D$6)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2418</v>
      </c>
      <c r="C8" s="208"/>
      <c r="D8" s="208"/>
      <c r="E8" s="208"/>
      <c r="F8" s="208"/>
      <c r="G8" s="208"/>
      <c r="H8" s="209"/>
      <c r="I8" s="208"/>
      <c r="J8" s="208"/>
      <c r="K8" s="27"/>
    </row>
    <row r="9" spans="1:11" x14ac:dyDescent="0.2">
      <c r="A9" s="210">
        <v>2</v>
      </c>
      <c r="B9" s="36" t="s">
        <v>2419</v>
      </c>
      <c r="C9" s="106"/>
      <c r="D9" s="106"/>
      <c r="E9" s="106"/>
      <c r="F9" s="106"/>
      <c r="G9" s="106"/>
      <c r="H9" s="105"/>
      <c r="I9" s="106"/>
      <c r="J9" s="106"/>
      <c r="K9" s="28"/>
    </row>
    <row r="10" spans="1:11" x14ac:dyDescent="0.2">
      <c r="A10" s="210">
        <v>3</v>
      </c>
      <c r="B10" s="36" t="s">
        <v>2420</v>
      </c>
      <c r="C10" s="106"/>
      <c r="D10" s="106"/>
      <c r="E10" s="106"/>
      <c r="F10" s="106"/>
      <c r="G10" s="106"/>
      <c r="H10" s="105"/>
      <c r="I10" s="106"/>
      <c r="J10" s="106"/>
      <c r="K10" s="28"/>
    </row>
    <row r="11" spans="1:11" x14ac:dyDescent="0.2">
      <c r="A11" s="210">
        <v>4</v>
      </c>
      <c r="B11" s="36" t="s">
        <v>2421</v>
      </c>
      <c r="C11" s="106"/>
      <c r="D11" s="106"/>
      <c r="E11" s="106"/>
      <c r="F11" s="106"/>
      <c r="G11" s="106"/>
      <c r="H11" s="105"/>
      <c r="I11" s="106"/>
      <c r="J11" s="106"/>
      <c r="K11" s="28"/>
    </row>
    <row r="12" spans="1:11" x14ac:dyDescent="0.2">
      <c r="A12" s="210">
        <v>5</v>
      </c>
      <c r="B12" s="36" t="s">
        <v>2422</v>
      </c>
      <c r="C12" s="106"/>
      <c r="D12" s="106"/>
      <c r="E12" s="106"/>
      <c r="F12" s="106"/>
      <c r="G12" s="106"/>
      <c r="H12" s="105"/>
      <c r="I12" s="106"/>
      <c r="J12" s="106"/>
      <c r="K12" s="28"/>
    </row>
    <row r="13" spans="1:11" x14ac:dyDescent="0.2">
      <c r="A13" s="210">
        <v>6</v>
      </c>
      <c r="B13" s="36" t="s">
        <v>2423</v>
      </c>
      <c r="C13" s="106"/>
      <c r="D13" s="106"/>
      <c r="E13" s="106"/>
      <c r="F13" s="106"/>
      <c r="G13" s="106"/>
      <c r="H13" s="105"/>
      <c r="I13" s="106"/>
      <c r="J13" s="106"/>
      <c r="K13" s="28"/>
    </row>
    <row r="14" spans="1:11" x14ac:dyDescent="0.2">
      <c r="A14" s="210">
        <v>7</v>
      </c>
      <c r="B14" s="36" t="s">
        <v>2424</v>
      </c>
      <c r="C14" s="106"/>
      <c r="D14" s="106"/>
      <c r="E14" s="106"/>
      <c r="F14" s="106"/>
      <c r="G14" s="106"/>
      <c r="H14" s="105"/>
      <c r="I14" s="106"/>
      <c r="J14" s="106"/>
      <c r="K14" s="28"/>
    </row>
    <row r="15" spans="1:11" x14ac:dyDescent="0.2">
      <c r="A15" s="210">
        <v>8</v>
      </c>
      <c r="B15" s="36" t="s">
        <v>2425</v>
      </c>
      <c r="C15" s="106"/>
      <c r="D15" s="106"/>
      <c r="E15" s="106"/>
      <c r="F15" s="106"/>
      <c r="G15" s="106"/>
      <c r="H15" s="105"/>
      <c r="I15" s="106"/>
      <c r="J15" s="106"/>
      <c r="K15" s="28"/>
    </row>
    <row r="16" spans="1:11" x14ac:dyDescent="0.2">
      <c r="A16" s="210">
        <v>9</v>
      </c>
      <c r="B16" s="36" t="s">
        <v>2426</v>
      </c>
      <c r="C16" s="106"/>
      <c r="D16" s="106"/>
      <c r="E16" s="106"/>
      <c r="F16" s="106"/>
      <c r="G16" s="106"/>
      <c r="H16" s="105"/>
      <c r="I16" s="106"/>
      <c r="J16" s="106"/>
      <c r="K16" s="28"/>
    </row>
    <row r="17" spans="1:11" x14ac:dyDescent="0.2">
      <c r="A17" s="210">
        <v>10</v>
      </c>
      <c r="B17" s="36" t="s">
        <v>2427</v>
      </c>
      <c r="C17" s="106"/>
      <c r="D17" s="106"/>
      <c r="E17" s="106"/>
      <c r="F17" s="106"/>
      <c r="G17" s="106"/>
      <c r="H17" s="105"/>
      <c r="I17" s="106"/>
      <c r="J17" s="106"/>
      <c r="K17" s="28"/>
    </row>
    <row r="18" spans="1:11" x14ac:dyDescent="0.2">
      <c r="A18" s="210">
        <v>11</v>
      </c>
      <c r="B18" s="36" t="s">
        <v>2428</v>
      </c>
      <c r="C18" s="106"/>
      <c r="D18" s="106"/>
      <c r="E18" s="106"/>
      <c r="F18" s="106"/>
      <c r="G18" s="106"/>
      <c r="H18" s="105"/>
      <c r="I18" s="106"/>
      <c r="J18" s="106"/>
      <c r="K18" s="28"/>
    </row>
    <row r="19" spans="1:11" x14ac:dyDescent="0.2">
      <c r="A19" s="210">
        <v>12</v>
      </c>
      <c r="B19" s="36" t="s">
        <v>2429</v>
      </c>
      <c r="C19" s="106"/>
      <c r="D19" s="106"/>
      <c r="E19" s="106"/>
      <c r="F19" s="106"/>
      <c r="G19" s="106"/>
      <c r="H19" s="105"/>
      <c r="I19" s="106"/>
      <c r="J19" s="106"/>
      <c r="K19" s="28"/>
    </row>
    <row r="20" spans="1:11" x14ac:dyDescent="0.2">
      <c r="A20" s="210">
        <v>13</v>
      </c>
      <c r="B20" s="36" t="s">
        <v>2430</v>
      </c>
      <c r="C20" s="106"/>
      <c r="D20" s="106"/>
      <c r="E20" s="106"/>
      <c r="F20" s="106"/>
      <c r="G20" s="106"/>
      <c r="H20" s="105"/>
      <c r="I20" s="106"/>
      <c r="J20" s="106"/>
      <c r="K20" s="28"/>
    </row>
    <row r="21" spans="1:11" x14ac:dyDescent="0.2">
      <c r="A21" s="210">
        <v>14</v>
      </c>
      <c r="B21" s="36" t="s">
        <v>2431</v>
      </c>
      <c r="C21" s="106"/>
      <c r="D21" s="106"/>
      <c r="E21" s="106"/>
      <c r="F21" s="106"/>
      <c r="G21" s="106"/>
      <c r="H21" s="105"/>
      <c r="I21" s="106"/>
      <c r="J21" s="106"/>
      <c r="K21" s="28"/>
    </row>
    <row r="22" spans="1:11" x14ac:dyDescent="0.2">
      <c r="A22" s="210">
        <v>15</v>
      </c>
      <c r="B22" s="36" t="s">
        <v>2432</v>
      </c>
      <c r="C22" s="106"/>
      <c r="D22" s="106"/>
      <c r="E22" s="106"/>
      <c r="F22" s="106"/>
      <c r="G22" s="106"/>
      <c r="H22" s="105"/>
      <c r="I22" s="106"/>
      <c r="J22" s="106"/>
      <c r="K22" s="28"/>
    </row>
    <row r="23" spans="1:11" x14ac:dyDescent="0.2">
      <c r="A23" s="210">
        <v>16</v>
      </c>
      <c r="B23" s="36" t="s">
        <v>2433</v>
      </c>
      <c r="C23" s="106"/>
      <c r="D23" s="106"/>
      <c r="E23" s="106"/>
      <c r="F23" s="106"/>
      <c r="G23" s="106"/>
      <c r="H23" s="105"/>
      <c r="I23" s="106"/>
      <c r="J23" s="106"/>
      <c r="K23" s="28"/>
    </row>
    <row r="24" spans="1:11" x14ac:dyDescent="0.2">
      <c r="A24" s="211">
        <v>17</v>
      </c>
      <c r="B24" s="212" t="s">
        <v>2434</v>
      </c>
      <c r="C24" s="213"/>
      <c r="D24" s="213"/>
      <c r="E24" s="213"/>
      <c r="F24" s="213"/>
      <c r="G24" s="213"/>
      <c r="H24" s="214"/>
      <c r="I24" s="213"/>
      <c r="J24" s="213"/>
      <c r="K24" s="215"/>
    </row>
    <row r="25" spans="1:11" x14ac:dyDescent="0.2">
      <c r="A25" s="4"/>
      <c r="B25" s="4"/>
      <c r="C25" s="4"/>
      <c r="D25" s="4"/>
      <c r="E25" s="4"/>
      <c r="F25" s="4"/>
      <c r="G25" s="4"/>
      <c r="H25" s="4"/>
      <c r="I25" s="4"/>
      <c r="J25" s="4"/>
      <c r="K25" s="4"/>
    </row>
    <row r="26" spans="1:11" ht="20" customHeight="1" x14ac:dyDescent="0.2">
      <c r="A26" s="245" t="s">
        <v>2102</v>
      </c>
      <c r="B26" s="245"/>
      <c r="C26" s="245"/>
      <c r="D26" s="245"/>
      <c r="E26" s="245"/>
      <c r="F26" s="245"/>
      <c r="G26" s="245"/>
      <c r="H26" s="245"/>
      <c r="I26" s="245"/>
      <c r="J26" s="245"/>
      <c r="K26" s="245"/>
    </row>
    <row r="27" spans="1:11" x14ac:dyDescent="0.2">
      <c r="A27" s="246" t="s">
        <v>2103</v>
      </c>
      <c r="B27" s="246"/>
      <c r="C27" s="246"/>
      <c r="D27" s="246" t="s">
        <v>2104</v>
      </c>
      <c r="E27" s="246"/>
      <c r="F27" s="246"/>
      <c r="G27" s="246" t="s">
        <v>2105</v>
      </c>
      <c r="H27" s="246"/>
      <c r="I27" s="246"/>
      <c r="J27" s="246" t="s">
        <v>973</v>
      </c>
      <c r="K27" s="246"/>
    </row>
    <row r="28" spans="1:11" ht="26" customHeight="1" x14ac:dyDescent="0.2">
      <c r="A28" s="235"/>
      <c r="B28" s="236"/>
      <c r="C28" s="236"/>
      <c r="D28" s="236"/>
      <c r="E28" s="236"/>
      <c r="F28" s="236"/>
      <c r="G28" s="236"/>
      <c r="H28" s="236"/>
      <c r="I28" s="236"/>
      <c r="J28" s="237"/>
      <c r="K28"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28:C28"/>
    <mergeCell ref="D28:F28"/>
    <mergeCell ref="G28:I28"/>
    <mergeCell ref="J28:K28"/>
    <mergeCell ref="A5:B5"/>
    <mergeCell ref="C5:D5"/>
    <mergeCell ref="E5:F5"/>
    <mergeCell ref="G5:H5"/>
    <mergeCell ref="J5:K5"/>
    <mergeCell ref="A6:B6"/>
    <mergeCell ref="J6:K6"/>
    <mergeCell ref="A26:K26"/>
    <mergeCell ref="A27:C27"/>
    <mergeCell ref="D27:F27"/>
    <mergeCell ref="G27:I27"/>
    <mergeCell ref="J27:K27"/>
  </mergeCells>
  <conditionalFormatting sqref="C8:F24">
    <cfRule type="containsText" dxfId="38" priority="3" operator="containsText" text="No">
      <formula>NOT(ISERROR(SEARCH("No",C8)))</formula>
    </cfRule>
  </conditionalFormatting>
  <conditionalFormatting sqref="G8:G24">
    <cfRule type="containsText" dxfId="37" priority="1" operator="containsText" text="Pass">
      <formula>NOT(ISERROR(SEARCH("Pass",G8)))</formula>
    </cfRule>
    <cfRule type="containsText" dxfId="36" priority="2" operator="containsText" text="Fail">
      <formula>NOT(ISERROR(SEARCH("Fail",G8)))</formula>
    </cfRule>
  </conditionalFormatting>
  <dataValidations count="3">
    <dataValidation type="list" allowBlank="1" showInputMessage="1" showErrorMessage="1" sqref="C8:C24 D8:D24 E8:E24 F8:F24" xr:uid="{333DBBD2-B70F-6748-A47C-7E9F7D112262}">
      <formula1>"Yes,No,N/A"</formula1>
    </dataValidation>
    <dataValidation type="list" allowBlank="1" showInputMessage="1" showErrorMessage="1" sqref="G8:G24" xr:uid="{6BC4748A-20C2-BC45-A8D2-8DDFC655F07E}">
      <formula1>"Pass,Fail,N/A"</formula1>
    </dataValidation>
    <dataValidation type="list" allowBlank="1" showInputMessage="1" showErrorMessage="1" sqref="G5" xr:uid="{8D31F9A4-A484-134A-8D75-B197544D6BAD}">
      <formula1>"1 - Preparatory,2 - Work Readiness,3 - First Work Review,4 - Follow-Up"</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7120-EC0A-3545-98E3-187C62819315}">
  <dimension ref="A1:K36"/>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2435</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2417</v>
      </c>
      <c r="H3" s="239"/>
      <c r="I3" s="217" t="s">
        <v>211</v>
      </c>
      <c r="J3" s="239" t="s">
        <v>2215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314</v>
      </c>
      <c r="B5" s="239"/>
      <c r="C5" s="240"/>
      <c r="D5" s="240"/>
      <c r="E5" s="240"/>
      <c r="F5" s="240"/>
      <c r="G5" s="240"/>
      <c r="H5" s="240"/>
      <c r="I5" s="216"/>
      <c r="J5" s="241"/>
      <c r="K5" s="240"/>
    </row>
    <row r="6" spans="1:11" ht="20" customHeight="1" x14ac:dyDescent="0.2">
      <c r="A6" s="242" t="s">
        <v>2073</v>
      </c>
      <c r="B6" s="242"/>
      <c r="C6" s="218" t="s">
        <v>2074</v>
      </c>
      <c r="D6" s="219">
        <f>COUNTA($B$8:$B$32)</f>
        <v>25</v>
      </c>
      <c r="E6" s="218" t="s">
        <v>188</v>
      </c>
      <c r="F6" s="219">
        <f>COUNTIF($G$8:$G$32,"Pass")</f>
        <v>0</v>
      </c>
      <c r="G6" s="218" t="s">
        <v>189</v>
      </c>
      <c r="H6" s="219">
        <f>COUNTIF($G$8:$G$32,"Fail")</f>
        <v>0</v>
      </c>
      <c r="I6" s="218" t="s">
        <v>132</v>
      </c>
      <c r="J6" s="243">
        <f>IF($D$6=0,0,($F$6+COUNTIF($G$8:$G$32,"N/A"))/$D$6)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2436</v>
      </c>
      <c r="C8" s="208"/>
      <c r="D8" s="208"/>
      <c r="E8" s="208"/>
      <c r="F8" s="208"/>
      <c r="G8" s="208"/>
      <c r="H8" s="209"/>
      <c r="I8" s="208"/>
      <c r="J8" s="208"/>
      <c r="K8" s="27"/>
    </row>
    <row r="9" spans="1:11" x14ac:dyDescent="0.2">
      <c r="A9" s="210">
        <v>2</v>
      </c>
      <c r="B9" s="36" t="s">
        <v>2437</v>
      </c>
      <c r="C9" s="106"/>
      <c r="D9" s="106"/>
      <c r="E9" s="106"/>
      <c r="F9" s="106"/>
      <c r="G9" s="106"/>
      <c r="H9" s="105"/>
      <c r="I9" s="106"/>
      <c r="J9" s="106"/>
      <c r="K9" s="28"/>
    </row>
    <row r="10" spans="1:11" x14ac:dyDescent="0.2">
      <c r="A10" s="210">
        <v>3</v>
      </c>
      <c r="B10" s="36" t="s">
        <v>2438</v>
      </c>
      <c r="C10" s="106"/>
      <c r="D10" s="106"/>
      <c r="E10" s="106"/>
      <c r="F10" s="106"/>
      <c r="G10" s="106"/>
      <c r="H10" s="105"/>
      <c r="I10" s="106"/>
      <c r="J10" s="106"/>
      <c r="K10" s="28"/>
    </row>
    <row r="11" spans="1:11" x14ac:dyDescent="0.2">
      <c r="A11" s="210">
        <v>4</v>
      </c>
      <c r="B11" s="36" t="s">
        <v>2439</v>
      </c>
      <c r="C11" s="106"/>
      <c r="D11" s="106"/>
      <c r="E11" s="106"/>
      <c r="F11" s="106"/>
      <c r="G11" s="106"/>
      <c r="H11" s="105"/>
      <c r="I11" s="106"/>
      <c r="J11" s="106"/>
      <c r="K11" s="28"/>
    </row>
    <row r="12" spans="1:11" x14ac:dyDescent="0.2">
      <c r="A12" s="210">
        <v>5</v>
      </c>
      <c r="B12" s="36" t="s">
        <v>2440</v>
      </c>
      <c r="C12" s="106"/>
      <c r="D12" s="106"/>
      <c r="E12" s="106"/>
      <c r="F12" s="106"/>
      <c r="G12" s="106"/>
      <c r="H12" s="105"/>
      <c r="I12" s="106"/>
      <c r="J12" s="106"/>
      <c r="K12" s="28"/>
    </row>
    <row r="13" spans="1:11" x14ac:dyDescent="0.2">
      <c r="A13" s="210">
        <v>6</v>
      </c>
      <c r="B13" s="36" t="s">
        <v>2441</v>
      </c>
      <c r="C13" s="106"/>
      <c r="D13" s="106"/>
      <c r="E13" s="106"/>
      <c r="F13" s="106"/>
      <c r="G13" s="106"/>
      <c r="H13" s="105"/>
      <c r="I13" s="106"/>
      <c r="J13" s="106"/>
      <c r="K13" s="28"/>
    </row>
    <row r="14" spans="1:11" x14ac:dyDescent="0.2">
      <c r="A14" s="210">
        <v>7</v>
      </c>
      <c r="B14" s="36" t="s">
        <v>2442</v>
      </c>
      <c r="C14" s="106"/>
      <c r="D14" s="106"/>
      <c r="E14" s="106"/>
      <c r="F14" s="106"/>
      <c r="G14" s="106"/>
      <c r="H14" s="105"/>
      <c r="I14" s="106"/>
      <c r="J14" s="106"/>
      <c r="K14" s="28"/>
    </row>
    <row r="15" spans="1:11" x14ac:dyDescent="0.2">
      <c r="A15" s="210">
        <v>8</v>
      </c>
      <c r="B15" s="36" t="s">
        <v>2443</v>
      </c>
      <c r="C15" s="106"/>
      <c r="D15" s="106"/>
      <c r="E15" s="106"/>
      <c r="F15" s="106"/>
      <c r="G15" s="106"/>
      <c r="H15" s="105"/>
      <c r="I15" s="106"/>
      <c r="J15" s="106"/>
      <c r="K15" s="28"/>
    </row>
    <row r="16" spans="1:11" x14ac:dyDescent="0.2">
      <c r="A16" s="210">
        <v>9</v>
      </c>
      <c r="B16" s="36" t="s">
        <v>2444</v>
      </c>
      <c r="C16" s="106"/>
      <c r="D16" s="106"/>
      <c r="E16" s="106"/>
      <c r="F16" s="106"/>
      <c r="G16" s="106"/>
      <c r="H16" s="105"/>
      <c r="I16" s="106"/>
      <c r="J16" s="106"/>
      <c r="K16" s="28"/>
    </row>
    <row r="17" spans="1:11" x14ac:dyDescent="0.2">
      <c r="A17" s="210">
        <v>10</v>
      </c>
      <c r="B17" s="36" t="s">
        <v>2445</v>
      </c>
      <c r="C17" s="106"/>
      <c r="D17" s="106"/>
      <c r="E17" s="106"/>
      <c r="F17" s="106"/>
      <c r="G17" s="106"/>
      <c r="H17" s="105"/>
      <c r="I17" s="106"/>
      <c r="J17" s="106"/>
      <c r="K17" s="28"/>
    </row>
    <row r="18" spans="1:11" x14ac:dyDescent="0.2">
      <c r="A18" s="210">
        <v>11</v>
      </c>
      <c r="B18" s="36" t="s">
        <v>2446</v>
      </c>
      <c r="C18" s="106"/>
      <c r="D18" s="106"/>
      <c r="E18" s="106"/>
      <c r="F18" s="106"/>
      <c r="G18" s="106"/>
      <c r="H18" s="105"/>
      <c r="I18" s="106"/>
      <c r="J18" s="106"/>
      <c r="K18" s="28"/>
    </row>
    <row r="19" spans="1:11" x14ac:dyDescent="0.2">
      <c r="A19" s="210">
        <v>12</v>
      </c>
      <c r="B19" s="36" t="s">
        <v>2447</v>
      </c>
      <c r="C19" s="106"/>
      <c r="D19" s="106"/>
      <c r="E19" s="106"/>
      <c r="F19" s="106"/>
      <c r="G19" s="106"/>
      <c r="H19" s="105"/>
      <c r="I19" s="106"/>
      <c r="J19" s="106"/>
      <c r="K19" s="28"/>
    </row>
    <row r="20" spans="1:11" x14ac:dyDescent="0.2">
      <c r="A20" s="210">
        <v>13</v>
      </c>
      <c r="B20" s="36" t="s">
        <v>2448</v>
      </c>
      <c r="C20" s="106"/>
      <c r="D20" s="106"/>
      <c r="E20" s="106"/>
      <c r="F20" s="106"/>
      <c r="G20" s="106"/>
      <c r="H20" s="105"/>
      <c r="I20" s="106"/>
      <c r="J20" s="106"/>
      <c r="K20" s="28"/>
    </row>
    <row r="21" spans="1:11" x14ac:dyDescent="0.2">
      <c r="A21" s="210">
        <v>14</v>
      </c>
      <c r="B21" s="36" t="s">
        <v>2449</v>
      </c>
      <c r="C21" s="106"/>
      <c r="D21" s="106"/>
      <c r="E21" s="106"/>
      <c r="F21" s="106"/>
      <c r="G21" s="106"/>
      <c r="H21" s="105"/>
      <c r="I21" s="106"/>
      <c r="J21" s="106"/>
      <c r="K21" s="28"/>
    </row>
    <row r="22" spans="1:11" x14ac:dyDescent="0.2">
      <c r="A22" s="210">
        <v>15</v>
      </c>
      <c r="B22" s="36" t="s">
        <v>2450</v>
      </c>
      <c r="C22" s="106"/>
      <c r="D22" s="106"/>
      <c r="E22" s="106"/>
      <c r="F22" s="106"/>
      <c r="G22" s="106"/>
      <c r="H22" s="105"/>
      <c r="I22" s="106"/>
      <c r="J22" s="106"/>
      <c r="K22" s="28"/>
    </row>
    <row r="23" spans="1:11" x14ac:dyDescent="0.2">
      <c r="A23" s="210">
        <v>16</v>
      </c>
      <c r="B23" s="36" t="s">
        <v>2451</v>
      </c>
      <c r="C23" s="106"/>
      <c r="D23" s="106"/>
      <c r="E23" s="106"/>
      <c r="F23" s="106"/>
      <c r="G23" s="106"/>
      <c r="H23" s="105"/>
      <c r="I23" s="106"/>
      <c r="J23" s="106"/>
      <c r="K23" s="28"/>
    </row>
    <row r="24" spans="1:11" x14ac:dyDescent="0.2">
      <c r="A24" s="210">
        <v>17</v>
      </c>
      <c r="B24" s="36" t="s">
        <v>2452</v>
      </c>
      <c r="C24" s="106"/>
      <c r="D24" s="106"/>
      <c r="E24" s="106"/>
      <c r="F24" s="106"/>
      <c r="G24" s="106"/>
      <c r="H24" s="105"/>
      <c r="I24" s="106"/>
      <c r="J24" s="106"/>
      <c r="K24" s="28"/>
    </row>
    <row r="25" spans="1:11" x14ac:dyDescent="0.2">
      <c r="A25" s="210">
        <v>18</v>
      </c>
      <c r="B25" s="36" t="s">
        <v>2453</v>
      </c>
      <c r="C25" s="106"/>
      <c r="D25" s="106"/>
      <c r="E25" s="106"/>
      <c r="F25" s="106"/>
      <c r="G25" s="106"/>
      <c r="H25" s="105"/>
      <c r="I25" s="106"/>
      <c r="J25" s="106"/>
      <c r="K25" s="28"/>
    </row>
    <row r="26" spans="1:11" x14ac:dyDescent="0.2">
      <c r="A26" s="210">
        <v>19</v>
      </c>
      <c r="B26" s="36" t="s">
        <v>2454</v>
      </c>
      <c r="C26" s="106"/>
      <c r="D26" s="106"/>
      <c r="E26" s="106"/>
      <c r="F26" s="106"/>
      <c r="G26" s="106"/>
      <c r="H26" s="105"/>
      <c r="I26" s="106"/>
      <c r="J26" s="106"/>
      <c r="K26" s="28"/>
    </row>
    <row r="27" spans="1:11" x14ac:dyDescent="0.2">
      <c r="A27" s="210">
        <v>20</v>
      </c>
      <c r="B27" s="36" t="s">
        <v>2455</v>
      </c>
      <c r="C27" s="106"/>
      <c r="D27" s="106"/>
      <c r="E27" s="106"/>
      <c r="F27" s="106"/>
      <c r="G27" s="106"/>
      <c r="H27" s="105"/>
      <c r="I27" s="106"/>
      <c r="J27" s="106"/>
      <c r="K27" s="28"/>
    </row>
    <row r="28" spans="1:11" x14ac:dyDescent="0.2">
      <c r="A28" s="210">
        <v>21</v>
      </c>
      <c r="B28" s="36" t="s">
        <v>2456</v>
      </c>
      <c r="C28" s="106"/>
      <c r="D28" s="106"/>
      <c r="E28" s="106"/>
      <c r="F28" s="106"/>
      <c r="G28" s="106"/>
      <c r="H28" s="105"/>
      <c r="I28" s="106"/>
      <c r="J28" s="106"/>
      <c r="K28" s="28"/>
    </row>
    <row r="29" spans="1:11" x14ac:dyDescent="0.2">
      <c r="A29" s="210">
        <v>22</v>
      </c>
      <c r="B29" s="36" t="s">
        <v>2457</v>
      </c>
      <c r="C29" s="106"/>
      <c r="D29" s="106"/>
      <c r="E29" s="106"/>
      <c r="F29" s="106"/>
      <c r="G29" s="106"/>
      <c r="H29" s="105"/>
      <c r="I29" s="106"/>
      <c r="J29" s="106"/>
      <c r="K29" s="28"/>
    </row>
    <row r="30" spans="1:11" x14ac:dyDescent="0.2">
      <c r="A30" s="210">
        <v>23</v>
      </c>
      <c r="B30" s="36" t="s">
        <v>2458</v>
      </c>
      <c r="C30" s="106"/>
      <c r="D30" s="106"/>
      <c r="E30" s="106"/>
      <c r="F30" s="106"/>
      <c r="G30" s="106"/>
      <c r="H30" s="105"/>
      <c r="I30" s="106"/>
      <c r="J30" s="106"/>
      <c r="K30" s="28"/>
    </row>
    <row r="31" spans="1:11" x14ac:dyDescent="0.2">
      <c r="A31" s="210">
        <v>24</v>
      </c>
      <c r="B31" s="36" t="s">
        <v>2459</v>
      </c>
      <c r="C31" s="106"/>
      <c r="D31" s="106"/>
      <c r="E31" s="106"/>
      <c r="F31" s="106"/>
      <c r="G31" s="106"/>
      <c r="H31" s="105"/>
      <c r="I31" s="106"/>
      <c r="J31" s="106"/>
      <c r="K31" s="28"/>
    </row>
    <row r="32" spans="1:11" x14ac:dyDescent="0.2">
      <c r="A32" s="211">
        <v>25</v>
      </c>
      <c r="B32" s="212" t="s">
        <v>2460</v>
      </c>
      <c r="C32" s="213"/>
      <c r="D32" s="213"/>
      <c r="E32" s="213"/>
      <c r="F32" s="213"/>
      <c r="G32" s="213"/>
      <c r="H32" s="214"/>
      <c r="I32" s="213"/>
      <c r="J32" s="213"/>
      <c r="K32" s="215"/>
    </row>
    <row r="33" spans="1:11" x14ac:dyDescent="0.2">
      <c r="A33" s="4"/>
      <c r="B33" s="4"/>
      <c r="C33" s="4"/>
      <c r="D33" s="4"/>
      <c r="E33" s="4"/>
      <c r="F33" s="4"/>
      <c r="G33" s="4"/>
      <c r="H33" s="4"/>
      <c r="I33" s="4"/>
      <c r="J33" s="4"/>
      <c r="K33" s="4"/>
    </row>
    <row r="34" spans="1:11" ht="20" customHeight="1" x14ac:dyDescent="0.2">
      <c r="A34" s="245" t="s">
        <v>2102</v>
      </c>
      <c r="B34" s="245"/>
      <c r="C34" s="245"/>
      <c r="D34" s="245"/>
      <c r="E34" s="245"/>
      <c r="F34" s="245"/>
      <c r="G34" s="245"/>
      <c r="H34" s="245"/>
      <c r="I34" s="245"/>
      <c r="J34" s="245"/>
      <c r="K34" s="245"/>
    </row>
    <row r="35" spans="1:11" x14ac:dyDescent="0.2">
      <c r="A35" s="246" t="s">
        <v>2103</v>
      </c>
      <c r="B35" s="246"/>
      <c r="C35" s="246"/>
      <c r="D35" s="246" t="s">
        <v>2104</v>
      </c>
      <c r="E35" s="246"/>
      <c r="F35" s="246"/>
      <c r="G35" s="246" t="s">
        <v>2105</v>
      </c>
      <c r="H35" s="246"/>
      <c r="I35" s="246"/>
      <c r="J35" s="246" t="s">
        <v>973</v>
      </c>
      <c r="K35" s="246"/>
    </row>
    <row r="36" spans="1:11" ht="26" customHeight="1" x14ac:dyDescent="0.2">
      <c r="A36" s="235"/>
      <c r="B36" s="236"/>
      <c r="C36" s="236"/>
      <c r="D36" s="236"/>
      <c r="E36" s="236"/>
      <c r="F36" s="236"/>
      <c r="G36" s="236"/>
      <c r="H36" s="236"/>
      <c r="I36" s="236"/>
      <c r="J36" s="237"/>
      <c r="K36"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6:C36"/>
    <mergeCell ref="D36:F36"/>
    <mergeCell ref="G36:I36"/>
    <mergeCell ref="J36:K36"/>
    <mergeCell ref="A5:B5"/>
    <mergeCell ref="C5:D5"/>
    <mergeCell ref="E5:F5"/>
    <mergeCell ref="G5:H5"/>
    <mergeCell ref="J5:K5"/>
    <mergeCell ref="A6:B6"/>
    <mergeCell ref="J6:K6"/>
    <mergeCell ref="A34:K34"/>
    <mergeCell ref="A35:C35"/>
    <mergeCell ref="D35:F35"/>
    <mergeCell ref="G35:I35"/>
    <mergeCell ref="J35:K35"/>
  </mergeCells>
  <conditionalFormatting sqref="C8:F32">
    <cfRule type="containsText" dxfId="35" priority="3" operator="containsText" text="No">
      <formula>NOT(ISERROR(SEARCH("No",C8)))</formula>
    </cfRule>
  </conditionalFormatting>
  <conditionalFormatting sqref="G8:G32">
    <cfRule type="containsText" dxfId="34" priority="1" operator="containsText" text="Pass">
      <formula>NOT(ISERROR(SEARCH("Pass",G8)))</formula>
    </cfRule>
    <cfRule type="containsText" dxfId="33" priority="2" operator="containsText" text="Fail">
      <formula>NOT(ISERROR(SEARCH("Fail",G8)))</formula>
    </cfRule>
  </conditionalFormatting>
  <dataValidations count="3">
    <dataValidation type="list" allowBlank="1" showInputMessage="1" showErrorMessage="1" sqref="C8:C32 D8:D32 E8:E32 F8:F32" xr:uid="{1F1BBB0C-476F-A841-B8EA-056BB1F73148}">
      <formula1>"Yes,No,N/A"</formula1>
    </dataValidation>
    <dataValidation type="list" allowBlank="1" showInputMessage="1" showErrorMessage="1" sqref="G8:G32" xr:uid="{5242F57A-1063-0846-AA5E-610D41FA8C05}">
      <formula1>"Pass,Fail,N/A"</formula1>
    </dataValidation>
    <dataValidation type="list" allowBlank="1" showInputMessage="1" showErrorMessage="1" sqref="G5" xr:uid="{2E783838-16F1-A24F-9069-9CC3718C80C3}">
      <formula1>"1 - Preparatory,2 - Work Readiness,3 - First Work Review,4 - Follow-Up"</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0CF9D-33C3-0C44-88C6-6F008023DF79}">
  <dimension ref="A1:K33"/>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2461</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2462</v>
      </c>
      <c r="H3" s="239"/>
      <c r="I3" s="217" t="s">
        <v>211</v>
      </c>
      <c r="J3" s="239" t="s">
        <v>2215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314</v>
      </c>
      <c r="B5" s="239"/>
      <c r="C5" s="240"/>
      <c r="D5" s="240"/>
      <c r="E5" s="240"/>
      <c r="F5" s="240"/>
      <c r="G5" s="240"/>
      <c r="H5" s="240"/>
      <c r="I5" s="216"/>
      <c r="J5" s="241"/>
      <c r="K5" s="240"/>
    </row>
    <row r="6" spans="1:11" ht="20" customHeight="1" x14ac:dyDescent="0.2">
      <c r="A6" s="242" t="s">
        <v>2073</v>
      </c>
      <c r="B6" s="242"/>
      <c r="C6" s="218" t="s">
        <v>2074</v>
      </c>
      <c r="D6" s="219">
        <f>COUNTA($B$8:$B$29)</f>
        <v>22</v>
      </c>
      <c r="E6" s="218" t="s">
        <v>188</v>
      </c>
      <c r="F6" s="219">
        <f>COUNTIF($G$8:$G$29,"Pass")</f>
        <v>0</v>
      </c>
      <c r="G6" s="218" t="s">
        <v>189</v>
      </c>
      <c r="H6" s="219">
        <f>COUNTIF($G$8:$G$29,"Fail")</f>
        <v>0</v>
      </c>
      <c r="I6" s="218" t="s">
        <v>132</v>
      </c>
      <c r="J6" s="243">
        <f>IF($D$6=0,0,($F$6+COUNTIF($G$8:$G$29,"N/A"))/$D$6)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2463</v>
      </c>
      <c r="C8" s="208"/>
      <c r="D8" s="208"/>
      <c r="E8" s="208"/>
      <c r="F8" s="208"/>
      <c r="G8" s="208"/>
      <c r="H8" s="209"/>
      <c r="I8" s="208"/>
      <c r="J8" s="208"/>
      <c r="K8" s="27"/>
    </row>
    <row r="9" spans="1:11" x14ac:dyDescent="0.2">
      <c r="A9" s="210">
        <v>2</v>
      </c>
      <c r="B9" s="36" t="s">
        <v>2464</v>
      </c>
      <c r="C9" s="106"/>
      <c r="D9" s="106"/>
      <c r="E9" s="106"/>
      <c r="F9" s="106"/>
      <c r="G9" s="106"/>
      <c r="H9" s="105"/>
      <c r="I9" s="106"/>
      <c r="J9" s="106"/>
      <c r="K9" s="28"/>
    </row>
    <row r="10" spans="1:11" x14ac:dyDescent="0.2">
      <c r="A10" s="210">
        <v>3</v>
      </c>
      <c r="B10" s="36" t="s">
        <v>2465</v>
      </c>
      <c r="C10" s="106"/>
      <c r="D10" s="106"/>
      <c r="E10" s="106"/>
      <c r="F10" s="106"/>
      <c r="G10" s="106"/>
      <c r="H10" s="105"/>
      <c r="I10" s="106"/>
      <c r="J10" s="106"/>
      <c r="K10" s="28"/>
    </row>
    <row r="11" spans="1:11" x14ac:dyDescent="0.2">
      <c r="A11" s="210">
        <v>4</v>
      </c>
      <c r="B11" s="36" t="s">
        <v>2466</v>
      </c>
      <c r="C11" s="106"/>
      <c r="D11" s="106"/>
      <c r="E11" s="106"/>
      <c r="F11" s="106"/>
      <c r="G11" s="106"/>
      <c r="H11" s="105"/>
      <c r="I11" s="106"/>
      <c r="J11" s="106"/>
      <c r="K11" s="28"/>
    </row>
    <row r="12" spans="1:11" x14ac:dyDescent="0.2">
      <c r="A12" s="210">
        <v>5</v>
      </c>
      <c r="B12" s="36" t="s">
        <v>2467</v>
      </c>
      <c r="C12" s="106"/>
      <c r="D12" s="106"/>
      <c r="E12" s="106"/>
      <c r="F12" s="106"/>
      <c r="G12" s="106"/>
      <c r="H12" s="105"/>
      <c r="I12" s="106"/>
      <c r="J12" s="106"/>
      <c r="K12" s="28"/>
    </row>
    <row r="13" spans="1:11" x14ac:dyDescent="0.2">
      <c r="A13" s="210">
        <v>6</v>
      </c>
      <c r="B13" s="36" t="s">
        <v>2468</v>
      </c>
      <c r="C13" s="106"/>
      <c r="D13" s="106"/>
      <c r="E13" s="106"/>
      <c r="F13" s="106"/>
      <c r="G13" s="106"/>
      <c r="H13" s="105"/>
      <c r="I13" s="106"/>
      <c r="J13" s="106"/>
      <c r="K13" s="28"/>
    </row>
    <row r="14" spans="1:11" x14ac:dyDescent="0.2">
      <c r="A14" s="210">
        <v>7</v>
      </c>
      <c r="B14" s="36" t="s">
        <v>2469</v>
      </c>
      <c r="C14" s="106"/>
      <c r="D14" s="106"/>
      <c r="E14" s="106"/>
      <c r="F14" s="106"/>
      <c r="G14" s="106"/>
      <c r="H14" s="105"/>
      <c r="I14" s="106"/>
      <c r="J14" s="106"/>
      <c r="K14" s="28"/>
    </row>
    <row r="15" spans="1:11" x14ac:dyDescent="0.2">
      <c r="A15" s="210">
        <v>8</v>
      </c>
      <c r="B15" s="36" t="s">
        <v>2470</v>
      </c>
      <c r="C15" s="106"/>
      <c r="D15" s="106"/>
      <c r="E15" s="106"/>
      <c r="F15" s="106"/>
      <c r="G15" s="106"/>
      <c r="H15" s="105"/>
      <c r="I15" s="106"/>
      <c r="J15" s="106"/>
      <c r="K15" s="28"/>
    </row>
    <row r="16" spans="1:11" x14ac:dyDescent="0.2">
      <c r="A16" s="210">
        <v>9</v>
      </c>
      <c r="B16" s="36" t="s">
        <v>2471</v>
      </c>
      <c r="C16" s="106"/>
      <c r="D16" s="106"/>
      <c r="E16" s="106"/>
      <c r="F16" s="106"/>
      <c r="G16" s="106"/>
      <c r="H16" s="105"/>
      <c r="I16" s="106"/>
      <c r="J16" s="106"/>
      <c r="K16" s="28"/>
    </row>
    <row r="17" spans="1:11" x14ac:dyDescent="0.2">
      <c r="A17" s="210">
        <v>10</v>
      </c>
      <c r="B17" s="36" t="s">
        <v>2472</v>
      </c>
      <c r="C17" s="106"/>
      <c r="D17" s="106"/>
      <c r="E17" s="106"/>
      <c r="F17" s="106"/>
      <c r="G17" s="106"/>
      <c r="H17" s="105"/>
      <c r="I17" s="106"/>
      <c r="J17" s="106"/>
      <c r="K17" s="28"/>
    </row>
    <row r="18" spans="1:11" x14ac:dyDescent="0.2">
      <c r="A18" s="210">
        <v>11</v>
      </c>
      <c r="B18" s="36" t="s">
        <v>2473</v>
      </c>
      <c r="C18" s="106"/>
      <c r="D18" s="106"/>
      <c r="E18" s="106"/>
      <c r="F18" s="106"/>
      <c r="G18" s="106"/>
      <c r="H18" s="105"/>
      <c r="I18" s="106"/>
      <c r="J18" s="106"/>
      <c r="K18" s="28"/>
    </row>
    <row r="19" spans="1:11" x14ac:dyDescent="0.2">
      <c r="A19" s="210">
        <v>12</v>
      </c>
      <c r="B19" s="36" t="s">
        <v>2474</v>
      </c>
      <c r="C19" s="106"/>
      <c r="D19" s="106"/>
      <c r="E19" s="106"/>
      <c r="F19" s="106"/>
      <c r="G19" s="106"/>
      <c r="H19" s="105"/>
      <c r="I19" s="106"/>
      <c r="J19" s="106"/>
      <c r="K19" s="28"/>
    </row>
    <row r="20" spans="1:11" x14ac:dyDescent="0.2">
      <c r="A20" s="210">
        <v>13</v>
      </c>
      <c r="B20" s="36" t="s">
        <v>2475</v>
      </c>
      <c r="C20" s="106"/>
      <c r="D20" s="106"/>
      <c r="E20" s="106"/>
      <c r="F20" s="106"/>
      <c r="G20" s="106"/>
      <c r="H20" s="105"/>
      <c r="I20" s="106"/>
      <c r="J20" s="106"/>
      <c r="K20" s="28"/>
    </row>
    <row r="21" spans="1:11" x14ac:dyDescent="0.2">
      <c r="A21" s="210">
        <v>14</v>
      </c>
      <c r="B21" s="36" t="s">
        <v>2476</v>
      </c>
      <c r="C21" s="106"/>
      <c r="D21" s="106"/>
      <c r="E21" s="106"/>
      <c r="F21" s="106"/>
      <c r="G21" s="106"/>
      <c r="H21" s="105"/>
      <c r="I21" s="106"/>
      <c r="J21" s="106"/>
      <c r="K21" s="28"/>
    </row>
    <row r="22" spans="1:11" x14ac:dyDescent="0.2">
      <c r="A22" s="210">
        <v>15</v>
      </c>
      <c r="B22" s="36" t="s">
        <v>2477</v>
      </c>
      <c r="C22" s="106"/>
      <c r="D22" s="106"/>
      <c r="E22" s="106"/>
      <c r="F22" s="106"/>
      <c r="G22" s="106"/>
      <c r="H22" s="105"/>
      <c r="I22" s="106"/>
      <c r="J22" s="106"/>
      <c r="K22" s="28"/>
    </row>
    <row r="23" spans="1:11" x14ac:dyDescent="0.2">
      <c r="A23" s="210">
        <v>16</v>
      </c>
      <c r="B23" s="36" t="s">
        <v>2478</v>
      </c>
      <c r="C23" s="106"/>
      <c r="D23" s="106"/>
      <c r="E23" s="106"/>
      <c r="F23" s="106"/>
      <c r="G23" s="106"/>
      <c r="H23" s="105"/>
      <c r="I23" s="106"/>
      <c r="J23" s="106"/>
      <c r="K23" s="28"/>
    </row>
    <row r="24" spans="1:11" x14ac:dyDescent="0.2">
      <c r="A24" s="210">
        <v>17</v>
      </c>
      <c r="B24" s="36" t="s">
        <v>2479</v>
      </c>
      <c r="C24" s="106"/>
      <c r="D24" s="106"/>
      <c r="E24" s="106"/>
      <c r="F24" s="106"/>
      <c r="G24" s="106"/>
      <c r="H24" s="105"/>
      <c r="I24" s="106"/>
      <c r="J24" s="106"/>
      <c r="K24" s="28"/>
    </row>
    <row r="25" spans="1:11" x14ac:dyDescent="0.2">
      <c r="A25" s="210">
        <v>18</v>
      </c>
      <c r="B25" s="36" t="s">
        <v>2480</v>
      </c>
      <c r="C25" s="106"/>
      <c r="D25" s="106"/>
      <c r="E25" s="106"/>
      <c r="F25" s="106"/>
      <c r="G25" s="106"/>
      <c r="H25" s="105"/>
      <c r="I25" s="106"/>
      <c r="J25" s="106"/>
      <c r="K25" s="28"/>
    </row>
    <row r="26" spans="1:11" x14ac:dyDescent="0.2">
      <c r="A26" s="210">
        <v>19</v>
      </c>
      <c r="B26" s="36" t="s">
        <v>2481</v>
      </c>
      <c r="C26" s="106"/>
      <c r="D26" s="106"/>
      <c r="E26" s="106"/>
      <c r="F26" s="106"/>
      <c r="G26" s="106"/>
      <c r="H26" s="105"/>
      <c r="I26" s="106"/>
      <c r="J26" s="106"/>
      <c r="K26" s="28"/>
    </row>
    <row r="27" spans="1:11" x14ac:dyDescent="0.2">
      <c r="A27" s="210">
        <v>20</v>
      </c>
      <c r="B27" s="36" t="s">
        <v>2482</v>
      </c>
      <c r="C27" s="106"/>
      <c r="D27" s="106"/>
      <c r="E27" s="106"/>
      <c r="F27" s="106"/>
      <c r="G27" s="106"/>
      <c r="H27" s="105"/>
      <c r="I27" s="106"/>
      <c r="J27" s="106"/>
      <c r="K27" s="28"/>
    </row>
    <row r="28" spans="1:11" x14ac:dyDescent="0.2">
      <c r="A28" s="210">
        <v>21</v>
      </c>
      <c r="B28" s="36" t="s">
        <v>2483</v>
      </c>
      <c r="C28" s="106"/>
      <c r="D28" s="106"/>
      <c r="E28" s="106"/>
      <c r="F28" s="106"/>
      <c r="G28" s="106"/>
      <c r="H28" s="105"/>
      <c r="I28" s="106"/>
      <c r="J28" s="106"/>
      <c r="K28" s="28"/>
    </row>
    <row r="29" spans="1:11" x14ac:dyDescent="0.2">
      <c r="A29" s="211">
        <v>22</v>
      </c>
      <c r="B29" s="212" t="s">
        <v>2484</v>
      </c>
      <c r="C29" s="213"/>
      <c r="D29" s="213"/>
      <c r="E29" s="213"/>
      <c r="F29" s="213"/>
      <c r="G29" s="213"/>
      <c r="H29" s="214"/>
      <c r="I29" s="213"/>
      <c r="J29" s="213"/>
      <c r="K29" s="215"/>
    </row>
    <row r="30" spans="1:11" x14ac:dyDescent="0.2">
      <c r="A30" s="4"/>
      <c r="B30" s="4"/>
      <c r="C30" s="4"/>
      <c r="D30" s="4"/>
      <c r="E30" s="4"/>
      <c r="F30" s="4"/>
      <c r="G30" s="4"/>
      <c r="H30" s="4"/>
      <c r="I30" s="4"/>
      <c r="J30" s="4"/>
      <c r="K30" s="4"/>
    </row>
    <row r="31" spans="1:11" ht="20" customHeight="1" x14ac:dyDescent="0.2">
      <c r="A31" s="245" t="s">
        <v>2102</v>
      </c>
      <c r="B31" s="245"/>
      <c r="C31" s="245"/>
      <c r="D31" s="245"/>
      <c r="E31" s="245"/>
      <c r="F31" s="245"/>
      <c r="G31" s="245"/>
      <c r="H31" s="245"/>
      <c r="I31" s="245"/>
      <c r="J31" s="245"/>
      <c r="K31" s="245"/>
    </row>
    <row r="32" spans="1:11" x14ac:dyDescent="0.2">
      <c r="A32" s="246" t="s">
        <v>2103</v>
      </c>
      <c r="B32" s="246"/>
      <c r="C32" s="246"/>
      <c r="D32" s="246" t="s">
        <v>2104</v>
      </c>
      <c r="E32" s="246"/>
      <c r="F32" s="246"/>
      <c r="G32" s="246" t="s">
        <v>2105</v>
      </c>
      <c r="H32" s="246"/>
      <c r="I32" s="246"/>
      <c r="J32" s="246" t="s">
        <v>973</v>
      </c>
      <c r="K32" s="246"/>
    </row>
    <row r="33" spans="1:11" ht="26" customHeight="1" x14ac:dyDescent="0.2">
      <c r="A33" s="235"/>
      <c r="B33" s="236"/>
      <c r="C33" s="236"/>
      <c r="D33" s="236"/>
      <c r="E33" s="236"/>
      <c r="F33" s="236"/>
      <c r="G33" s="236"/>
      <c r="H33" s="236"/>
      <c r="I33" s="236"/>
      <c r="J33" s="237"/>
      <c r="K33"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3:C33"/>
    <mergeCell ref="D33:F33"/>
    <mergeCell ref="G33:I33"/>
    <mergeCell ref="J33:K33"/>
    <mergeCell ref="A5:B5"/>
    <mergeCell ref="C5:D5"/>
    <mergeCell ref="E5:F5"/>
    <mergeCell ref="G5:H5"/>
    <mergeCell ref="J5:K5"/>
    <mergeCell ref="A6:B6"/>
    <mergeCell ref="J6:K6"/>
    <mergeCell ref="A31:K31"/>
    <mergeCell ref="A32:C32"/>
    <mergeCell ref="D32:F32"/>
    <mergeCell ref="G32:I32"/>
    <mergeCell ref="J32:K32"/>
  </mergeCells>
  <conditionalFormatting sqref="C8:F29">
    <cfRule type="containsText" dxfId="32" priority="3" operator="containsText" text="No">
      <formula>NOT(ISERROR(SEARCH("No",C8)))</formula>
    </cfRule>
  </conditionalFormatting>
  <conditionalFormatting sqref="G8:G29">
    <cfRule type="containsText" dxfId="31" priority="1" operator="containsText" text="Pass">
      <formula>NOT(ISERROR(SEARCH("Pass",G8)))</formula>
    </cfRule>
    <cfRule type="containsText" dxfId="30" priority="2" operator="containsText" text="Fail">
      <formula>NOT(ISERROR(SEARCH("Fail",G8)))</formula>
    </cfRule>
  </conditionalFormatting>
  <dataValidations count="3">
    <dataValidation type="list" allowBlank="1" showInputMessage="1" showErrorMessage="1" sqref="C8:C29 D8:D29 E8:E29 F8:F29" xr:uid="{3F8DF234-6C32-AF43-86AE-9B61D604D967}">
      <formula1>"Yes,No,N/A"</formula1>
    </dataValidation>
    <dataValidation type="list" allowBlank="1" showInputMessage="1" showErrorMessage="1" sqref="G8:G29" xr:uid="{C2617650-B56D-C047-A051-15E0B8C0060C}">
      <formula1>"Pass,Fail,N/A"</formula1>
    </dataValidation>
    <dataValidation type="list" allowBlank="1" showInputMessage="1" showErrorMessage="1" sqref="G5" xr:uid="{0059378F-5788-B44F-AAC0-2B534632D1E2}">
      <formula1>"1 - Preparatory,2 - Work Readiness,3 - First Work Review,4 - Follow-Up"</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0B5F5-AF15-4D40-9764-EF7691CF7790}">
  <dimension ref="A1:K35"/>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2485</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370</v>
      </c>
      <c r="H3" s="239"/>
      <c r="I3" s="217" t="s">
        <v>215</v>
      </c>
      <c r="J3" s="239" t="s">
        <v>2066</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2486</v>
      </c>
      <c r="B5" s="239"/>
      <c r="C5" s="240"/>
      <c r="D5" s="240"/>
      <c r="E5" s="240"/>
      <c r="F5" s="240"/>
      <c r="G5" s="240"/>
      <c r="H5" s="240"/>
      <c r="I5" s="216"/>
      <c r="J5" s="241"/>
      <c r="K5" s="240"/>
    </row>
    <row r="6" spans="1:11" ht="20" customHeight="1" x14ac:dyDescent="0.2">
      <c r="A6" s="242" t="s">
        <v>2073</v>
      </c>
      <c r="B6" s="242"/>
      <c r="C6" s="218" t="s">
        <v>2074</v>
      </c>
      <c r="D6" s="219">
        <f>COUNTA($B$8:$B$31)</f>
        <v>24</v>
      </c>
      <c r="E6" s="218" t="s">
        <v>188</v>
      </c>
      <c r="F6" s="219">
        <f>COUNTIF($G$8:$G$31,"Pass")</f>
        <v>0</v>
      </c>
      <c r="G6" s="218" t="s">
        <v>189</v>
      </c>
      <c r="H6" s="219">
        <f>COUNTIF($G$8:$G$31,"Fail")</f>
        <v>0</v>
      </c>
      <c r="I6" s="218" t="s">
        <v>132</v>
      </c>
      <c r="J6" s="243">
        <f>IF($D$6=0,0,($F$6+COUNTIF($G$8:$G$31,"N/A"))/$D$6)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2487</v>
      </c>
      <c r="C8" s="208"/>
      <c r="D8" s="208"/>
      <c r="E8" s="208"/>
      <c r="F8" s="208"/>
      <c r="G8" s="208"/>
      <c r="H8" s="209"/>
      <c r="I8" s="208"/>
      <c r="J8" s="208"/>
      <c r="K8" s="27"/>
    </row>
    <row r="9" spans="1:11" x14ac:dyDescent="0.2">
      <c r="A9" s="210">
        <v>2</v>
      </c>
      <c r="B9" s="36" t="s">
        <v>2488</v>
      </c>
      <c r="C9" s="106"/>
      <c r="D9" s="106"/>
      <c r="E9" s="106"/>
      <c r="F9" s="106"/>
      <c r="G9" s="106"/>
      <c r="H9" s="105"/>
      <c r="I9" s="106"/>
      <c r="J9" s="106"/>
      <c r="K9" s="28"/>
    </row>
    <row r="10" spans="1:11" x14ac:dyDescent="0.2">
      <c r="A10" s="210">
        <v>3</v>
      </c>
      <c r="B10" s="36" t="s">
        <v>2489</v>
      </c>
      <c r="C10" s="106"/>
      <c r="D10" s="106"/>
      <c r="E10" s="106"/>
      <c r="F10" s="106"/>
      <c r="G10" s="106"/>
      <c r="H10" s="105"/>
      <c r="I10" s="106"/>
      <c r="J10" s="106"/>
      <c r="K10" s="28"/>
    </row>
    <row r="11" spans="1:11" x14ac:dyDescent="0.2">
      <c r="A11" s="210">
        <v>4</v>
      </c>
      <c r="B11" s="36" t="s">
        <v>2490</v>
      </c>
      <c r="C11" s="106"/>
      <c r="D11" s="106"/>
      <c r="E11" s="106"/>
      <c r="F11" s="106"/>
      <c r="G11" s="106"/>
      <c r="H11" s="105"/>
      <c r="I11" s="106"/>
      <c r="J11" s="106"/>
      <c r="K11" s="28"/>
    </row>
    <row r="12" spans="1:11" x14ac:dyDescent="0.2">
      <c r="A12" s="210">
        <v>5</v>
      </c>
      <c r="B12" s="36" t="s">
        <v>2491</v>
      </c>
      <c r="C12" s="106"/>
      <c r="D12" s="106"/>
      <c r="E12" s="106"/>
      <c r="F12" s="106"/>
      <c r="G12" s="106"/>
      <c r="H12" s="105"/>
      <c r="I12" s="106"/>
      <c r="J12" s="106"/>
      <c r="K12" s="28"/>
    </row>
    <row r="13" spans="1:11" x14ac:dyDescent="0.2">
      <c r="A13" s="210">
        <v>6</v>
      </c>
      <c r="B13" s="36" t="s">
        <v>2492</v>
      </c>
      <c r="C13" s="106"/>
      <c r="D13" s="106"/>
      <c r="E13" s="106"/>
      <c r="F13" s="106"/>
      <c r="G13" s="106"/>
      <c r="H13" s="105"/>
      <c r="I13" s="106"/>
      <c r="J13" s="106"/>
      <c r="K13" s="28"/>
    </row>
    <row r="14" spans="1:11" x14ac:dyDescent="0.2">
      <c r="A14" s="210">
        <v>7</v>
      </c>
      <c r="B14" s="36" t="s">
        <v>2493</v>
      </c>
      <c r="C14" s="106"/>
      <c r="D14" s="106"/>
      <c r="E14" s="106"/>
      <c r="F14" s="106"/>
      <c r="G14" s="106"/>
      <c r="H14" s="105"/>
      <c r="I14" s="106"/>
      <c r="J14" s="106"/>
      <c r="K14" s="28"/>
    </row>
    <row r="15" spans="1:11" x14ac:dyDescent="0.2">
      <c r="A15" s="210">
        <v>8</v>
      </c>
      <c r="B15" s="36" t="s">
        <v>2494</v>
      </c>
      <c r="C15" s="106"/>
      <c r="D15" s="106"/>
      <c r="E15" s="106"/>
      <c r="F15" s="106"/>
      <c r="G15" s="106"/>
      <c r="H15" s="105"/>
      <c r="I15" s="106"/>
      <c r="J15" s="106"/>
      <c r="K15" s="28"/>
    </row>
    <row r="16" spans="1:11" x14ac:dyDescent="0.2">
      <c r="A16" s="210">
        <v>9</v>
      </c>
      <c r="B16" s="36" t="s">
        <v>2495</v>
      </c>
      <c r="C16" s="106"/>
      <c r="D16" s="106"/>
      <c r="E16" s="106"/>
      <c r="F16" s="106"/>
      <c r="G16" s="106"/>
      <c r="H16" s="105"/>
      <c r="I16" s="106"/>
      <c r="J16" s="106"/>
      <c r="K16" s="28"/>
    </row>
    <row r="17" spans="1:11" x14ac:dyDescent="0.2">
      <c r="A17" s="210">
        <v>10</v>
      </c>
      <c r="B17" s="36" t="s">
        <v>2496</v>
      </c>
      <c r="C17" s="106"/>
      <c r="D17" s="106"/>
      <c r="E17" s="106"/>
      <c r="F17" s="106"/>
      <c r="G17" s="106"/>
      <c r="H17" s="105"/>
      <c r="I17" s="106"/>
      <c r="J17" s="106"/>
      <c r="K17" s="28"/>
    </row>
    <row r="18" spans="1:11" x14ac:dyDescent="0.2">
      <c r="A18" s="210">
        <v>11</v>
      </c>
      <c r="B18" s="36" t="s">
        <v>2497</v>
      </c>
      <c r="C18" s="106"/>
      <c r="D18" s="106"/>
      <c r="E18" s="106"/>
      <c r="F18" s="106"/>
      <c r="G18" s="106"/>
      <c r="H18" s="105"/>
      <c r="I18" s="106"/>
      <c r="J18" s="106"/>
      <c r="K18" s="28"/>
    </row>
    <row r="19" spans="1:11" x14ac:dyDescent="0.2">
      <c r="A19" s="210">
        <v>12</v>
      </c>
      <c r="B19" s="36" t="s">
        <v>2498</v>
      </c>
      <c r="C19" s="106"/>
      <c r="D19" s="106"/>
      <c r="E19" s="106"/>
      <c r="F19" s="106"/>
      <c r="G19" s="106"/>
      <c r="H19" s="105"/>
      <c r="I19" s="106"/>
      <c r="J19" s="106"/>
      <c r="K19" s="28"/>
    </row>
    <row r="20" spans="1:11" x14ac:dyDescent="0.2">
      <c r="A20" s="210">
        <v>13</v>
      </c>
      <c r="B20" s="36" t="s">
        <v>2499</v>
      </c>
      <c r="C20" s="106"/>
      <c r="D20" s="106"/>
      <c r="E20" s="106"/>
      <c r="F20" s="106"/>
      <c r="G20" s="106"/>
      <c r="H20" s="105"/>
      <c r="I20" s="106"/>
      <c r="J20" s="106"/>
      <c r="K20" s="28"/>
    </row>
    <row r="21" spans="1:11" x14ac:dyDescent="0.2">
      <c r="A21" s="210">
        <v>14</v>
      </c>
      <c r="B21" s="36" t="s">
        <v>2500</v>
      </c>
      <c r="C21" s="106"/>
      <c r="D21" s="106"/>
      <c r="E21" s="106"/>
      <c r="F21" s="106"/>
      <c r="G21" s="106"/>
      <c r="H21" s="105"/>
      <c r="I21" s="106"/>
      <c r="J21" s="106"/>
      <c r="K21" s="28"/>
    </row>
    <row r="22" spans="1:11" x14ac:dyDescent="0.2">
      <c r="A22" s="210">
        <v>15</v>
      </c>
      <c r="B22" s="36" t="s">
        <v>2501</v>
      </c>
      <c r="C22" s="106"/>
      <c r="D22" s="106"/>
      <c r="E22" s="106"/>
      <c r="F22" s="106"/>
      <c r="G22" s="106"/>
      <c r="H22" s="105"/>
      <c r="I22" s="106"/>
      <c r="J22" s="106"/>
      <c r="K22" s="28"/>
    </row>
    <row r="23" spans="1:11" x14ac:dyDescent="0.2">
      <c r="A23" s="210">
        <v>16</v>
      </c>
      <c r="B23" s="36" t="s">
        <v>2502</v>
      </c>
      <c r="C23" s="106"/>
      <c r="D23" s="106"/>
      <c r="E23" s="106"/>
      <c r="F23" s="106"/>
      <c r="G23" s="106"/>
      <c r="H23" s="105"/>
      <c r="I23" s="106"/>
      <c r="J23" s="106"/>
      <c r="K23" s="28"/>
    </row>
    <row r="24" spans="1:11" x14ac:dyDescent="0.2">
      <c r="A24" s="210">
        <v>17</v>
      </c>
      <c r="B24" s="36" t="s">
        <v>2503</v>
      </c>
      <c r="C24" s="106"/>
      <c r="D24" s="106"/>
      <c r="E24" s="106"/>
      <c r="F24" s="106"/>
      <c r="G24" s="106"/>
      <c r="H24" s="105"/>
      <c r="I24" s="106"/>
      <c r="J24" s="106"/>
      <c r="K24" s="28"/>
    </row>
    <row r="25" spans="1:11" x14ac:dyDescent="0.2">
      <c r="A25" s="210">
        <v>18</v>
      </c>
      <c r="B25" s="36" t="s">
        <v>2504</v>
      </c>
      <c r="C25" s="106"/>
      <c r="D25" s="106"/>
      <c r="E25" s="106"/>
      <c r="F25" s="106"/>
      <c r="G25" s="106"/>
      <c r="H25" s="105"/>
      <c r="I25" s="106"/>
      <c r="J25" s="106"/>
      <c r="K25" s="28"/>
    </row>
    <row r="26" spans="1:11" x14ac:dyDescent="0.2">
      <c r="A26" s="210">
        <v>19</v>
      </c>
      <c r="B26" s="36" t="s">
        <v>2505</v>
      </c>
      <c r="C26" s="106"/>
      <c r="D26" s="106"/>
      <c r="E26" s="106"/>
      <c r="F26" s="106"/>
      <c r="G26" s="106"/>
      <c r="H26" s="105"/>
      <c r="I26" s="106"/>
      <c r="J26" s="106"/>
      <c r="K26" s="28"/>
    </row>
    <row r="27" spans="1:11" x14ac:dyDescent="0.2">
      <c r="A27" s="210">
        <v>20</v>
      </c>
      <c r="B27" s="36" t="s">
        <v>2506</v>
      </c>
      <c r="C27" s="106"/>
      <c r="D27" s="106"/>
      <c r="E27" s="106"/>
      <c r="F27" s="106"/>
      <c r="G27" s="106"/>
      <c r="H27" s="105"/>
      <c r="I27" s="106"/>
      <c r="J27" s="106"/>
      <c r="K27" s="28"/>
    </row>
    <row r="28" spans="1:11" x14ac:dyDescent="0.2">
      <c r="A28" s="210">
        <v>21</v>
      </c>
      <c r="B28" s="36" t="s">
        <v>2507</v>
      </c>
      <c r="C28" s="106"/>
      <c r="D28" s="106"/>
      <c r="E28" s="106"/>
      <c r="F28" s="106"/>
      <c r="G28" s="106"/>
      <c r="H28" s="105"/>
      <c r="I28" s="106"/>
      <c r="J28" s="106"/>
      <c r="K28" s="28"/>
    </row>
    <row r="29" spans="1:11" x14ac:dyDescent="0.2">
      <c r="A29" s="210">
        <v>22</v>
      </c>
      <c r="B29" s="36" t="s">
        <v>2508</v>
      </c>
      <c r="C29" s="106"/>
      <c r="D29" s="106"/>
      <c r="E29" s="106"/>
      <c r="F29" s="106"/>
      <c r="G29" s="106"/>
      <c r="H29" s="105"/>
      <c r="I29" s="106"/>
      <c r="J29" s="106"/>
      <c r="K29" s="28"/>
    </row>
    <row r="30" spans="1:11" x14ac:dyDescent="0.2">
      <c r="A30" s="210">
        <v>23</v>
      </c>
      <c r="B30" s="36" t="s">
        <v>2509</v>
      </c>
      <c r="C30" s="106"/>
      <c r="D30" s="106"/>
      <c r="E30" s="106"/>
      <c r="F30" s="106"/>
      <c r="G30" s="106"/>
      <c r="H30" s="105"/>
      <c r="I30" s="106"/>
      <c r="J30" s="106"/>
      <c r="K30" s="28"/>
    </row>
    <row r="31" spans="1:11" x14ac:dyDescent="0.2">
      <c r="A31" s="211">
        <v>24</v>
      </c>
      <c r="B31" s="212" t="s">
        <v>2510</v>
      </c>
      <c r="C31" s="213"/>
      <c r="D31" s="213"/>
      <c r="E31" s="213"/>
      <c r="F31" s="213"/>
      <c r="G31" s="213"/>
      <c r="H31" s="214"/>
      <c r="I31" s="213"/>
      <c r="J31" s="213"/>
      <c r="K31" s="215"/>
    </row>
    <row r="32" spans="1:11" x14ac:dyDescent="0.2">
      <c r="A32" s="4"/>
      <c r="B32" s="4"/>
      <c r="C32" s="4"/>
      <c r="D32" s="4"/>
      <c r="E32" s="4"/>
      <c r="F32" s="4"/>
      <c r="G32" s="4"/>
      <c r="H32" s="4"/>
      <c r="I32" s="4"/>
      <c r="J32" s="4"/>
      <c r="K32" s="4"/>
    </row>
    <row r="33" spans="1:11" ht="20" customHeight="1" x14ac:dyDescent="0.2">
      <c r="A33" s="245" t="s">
        <v>2102</v>
      </c>
      <c r="B33" s="245"/>
      <c r="C33" s="245"/>
      <c r="D33" s="245"/>
      <c r="E33" s="245"/>
      <c r="F33" s="245"/>
      <c r="G33" s="245"/>
      <c r="H33" s="245"/>
      <c r="I33" s="245"/>
      <c r="J33" s="245"/>
      <c r="K33" s="245"/>
    </row>
    <row r="34" spans="1:11" x14ac:dyDescent="0.2">
      <c r="A34" s="246" t="s">
        <v>2103</v>
      </c>
      <c r="B34" s="246"/>
      <c r="C34" s="246"/>
      <c r="D34" s="246" t="s">
        <v>2104</v>
      </c>
      <c r="E34" s="246"/>
      <c r="F34" s="246"/>
      <c r="G34" s="246" t="s">
        <v>2105</v>
      </c>
      <c r="H34" s="246"/>
      <c r="I34" s="246"/>
      <c r="J34" s="246" t="s">
        <v>973</v>
      </c>
      <c r="K34" s="246"/>
    </row>
    <row r="35" spans="1:11" ht="26" customHeight="1" x14ac:dyDescent="0.2">
      <c r="A35" s="235"/>
      <c r="B35" s="236"/>
      <c r="C35" s="236"/>
      <c r="D35" s="236"/>
      <c r="E35" s="236"/>
      <c r="F35" s="236"/>
      <c r="G35" s="236"/>
      <c r="H35" s="236"/>
      <c r="I35" s="236"/>
      <c r="J35" s="237"/>
      <c r="K35"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5:C35"/>
    <mergeCell ref="D35:F35"/>
    <mergeCell ref="G35:I35"/>
    <mergeCell ref="J35:K35"/>
    <mergeCell ref="A5:B5"/>
    <mergeCell ref="C5:D5"/>
    <mergeCell ref="E5:F5"/>
    <mergeCell ref="G5:H5"/>
    <mergeCell ref="J5:K5"/>
    <mergeCell ref="A6:B6"/>
    <mergeCell ref="J6:K6"/>
    <mergeCell ref="A33:K33"/>
    <mergeCell ref="A34:C34"/>
    <mergeCell ref="D34:F34"/>
    <mergeCell ref="G34:I34"/>
    <mergeCell ref="J34:K34"/>
  </mergeCells>
  <conditionalFormatting sqref="C8:F31">
    <cfRule type="containsText" dxfId="29" priority="3" operator="containsText" text="No">
      <formula>NOT(ISERROR(SEARCH("No",C8)))</formula>
    </cfRule>
  </conditionalFormatting>
  <conditionalFormatting sqref="G8:G31">
    <cfRule type="containsText" dxfId="28" priority="1" operator="containsText" text="Pass">
      <formula>NOT(ISERROR(SEARCH("Pass",G8)))</formula>
    </cfRule>
    <cfRule type="containsText" dxfId="27" priority="2" operator="containsText" text="Fail">
      <formula>NOT(ISERROR(SEARCH("Fail",G8)))</formula>
    </cfRule>
  </conditionalFormatting>
  <dataValidations count="3">
    <dataValidation type="list" allowBlank="1" showInputMessage="1" showErrorMessage="1" sqref="C8:C31 D8:D31 E8:E31 F8:F31" xr:uid="{B70AD4B5-C0AB-294D-96DB-EBF87359B84F}">
      <formula1>"Yes,No,N/A"</formula1>
    </dataValidation>
    <dataValidation type="list" allowBlank="1" showInputMessage="1" showErrorMessage="1" sqref="G8:G31" xr:uid="{29F1871B-BFAD-754E-809B-5C39E6906E81}">
      <formula1>"Pass,Fail,N/A"</formula1>
    </dataValidation>
    <dataValidation type="list" allowBlank="1" showInputMessage="1" showErrorMessage="1" sqref="G5" xr:uid="{7A7C571B-A3D6-BF48-BF5A-A44AE6351DCD}">
      <formula1>"1 - Preparatory,2 - Work Readiness,3 - First Work Review,4 - Follow-Up"</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7CCC3-BBD5-F843-AF36-0813AA3386B9}">
  <dimension ref="A1:K39"/>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2511</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1856</v>
      </c>
      <c r="H3" s="239"/>
      <c r="I3" s="217" t="s">
        <v>217</v>
      </c>
      <c r="J3" s="239" t="s">
        <v>2215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2512</v>
      </c>
      <c r="B5" s="239"/>
      <c r="C5" s="240"/>
      <c r="D5" s="240"/>
      <c r="E5" s="240"/>
      <c r="F5" s="240"/>
      <c r="G5" s="240"/>
      <c r="H5" s="240"/>
      <c r="I5" s="216"/>
      <c r="J5" s="241"/>
      <c r="K5" s="240"/>
    </row>
    <row r="6" spans="1:11" ht="20" customHeight="1" x14ac:dyDescent="0.2">
      <c r="A6" s="242" t="s">
        <v>2073</v>
      </c>
      <c r="B6" s="242"/>
      <c r="C6" s="218" t="s">
        <v>2074</v>
      </c>
      <c r="D6" s="219">
        <f>COUNTA($B$8:$B$35)</f>
        <v>28</v>
      </c>
      <c r="E6" s="218" t="s">
        <v>188</v>
      </c>
      <c r="F6" s="219">
        <f>COUNTIF($G$8:$G$35,"Pass")</f>
        <v>0</v>
      </c>
      <c r="G6" s="218" t="s">
        <v>189</v>
      </c>
      <c r="H6" s="219">
        <f>COUNTIF($G$8:$G$35,"Fail")</f>
        <v>0</v>
      </c>
      <c r="I6" s="218" t="s">
        <v>132</v>
      </c>
      <c r="J6" s="243">
        <f>IF($D$6=0,0,($F$6+COUNTIF($G$8:$G$35,"N/A"))/$D$6)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2513</v>
      </c>
      <c r="C8" s="208"/>
      <c r="D8" s="208"/>
      <c r="E8" s="208"/>
      <c r="F8" s="208"/>
      <c r="G8" s="208"/>
      <c r="H8" s="209"/>
      <c r="I8" s="208"/>
      <c r="J8" s="208"/>
      <c r="K8" s="27"/>
    </row>
    <row r="9" spans="1:11" x14ac:dyDescent="0.2">
      <c r="A9" s="210">
        <v>2</v>
      </c>
      <c r="B9" s="36" t="s">
        <v>2514</v>
      </c>
      <c r="C9" s="106"/>
      <c r="D9" s="106"/>
      <c r="E9" s="106"/>
      <c r="F9" s="106"/>
      <c r="G9" s="106"/>
      <c r="H9" s="105"/>
      <c r="I9" s="106"/>
      <c r="J9" s="106"/>
      <c r="K9" s="28"/>
    </row>
    <row r="10" spans="1:11" x14ac:dyDescent="0.2">
      <c r="A10" s="210">
        <v>3</v>
      </c>
      <c r="B10" s="36" t="s">
        <v>2515</v>
      </c>
      <c r="C10" s="106"/>
      <c r="D10" s="106"/>
      <c r="E10" s="106"/>
      <c r="F10" s="106"/>
      <c r="G10" s="106"/>
      <c r="H10" s="105"/>
      <c r="I10" s="106"/>
      <c r="J10" s="106"/>
      <c r="K10" s="28"/>
    </row>
    <row r="11" spans="1:11" x14ac:dyDescent="0.2">
      <c r="A11" s="210">
        <v>4</v>
      </c>
      <c r="B11" s="36" t="s">
        <v>2516</v>
      </c>
      <c r="C11" s="106"/>
      <c r="D11" s="106"/>
      <c r="E11" s="106"/>
      <c r="F11" s="106"/>
      <c r="G11" s="106"/>
      <c r="H11" s="105"/>
      <c r="I11" s="106"/>
      <c r="J11" s="106"/>
      <c r="K11" s="28"/>
    </row>
    <row r="12" spans="1:11" x14ac:dyDescent="0.2">
      <c r="A12" s="210">
        <v>5</v>
      </c>
      <c r="B12" s="36" t="s">
        <v>2517</v>
      </c>
      <c r="C12" s="106"/>
      <c r="D12" s="106"/>
      <c r="E12" s="106"/>
      <c r="F12" s="106"/>
      <c r="G12" s="106"/>
      <c r="H12" s="105"/>
      <c r="I12" s="106"/>
      <c r="J12" s="106"/>
      <c r="K12" s="28"/>
    </row>
    <row r="13" spans="1:11" x14ac:dyDescent="0.2">
      <c r="A13" s="210">
        <v>6</v>
      </c>
      <c r="B13" s="36" t="s">
        <v>2518</v>
      </c>
      <c r="C13" s="106"/>
      <c r="D13" s="106"/>
      <c r="E13" s="106"/>
      <c r="F13" s="106"/>
      <c r="G13" s="106"/>
      <c r="H13" s="105"/>
      <c r="I13" s="106"/>
      <c r="J13" s="106"/>
      <c r="K13" s="28"/>
    </row>
    <row r="14" spans="1:11" x14ac:dyDescent="0.2">
      <c r="A14" s="210">
        <v>7</v>
      </c>
      <c r="B14" s="36" t="s">
        <v>2519</v>
      </c>
      <c r="C14" s="106"/>
      <c r="D14" s="106"/>
      <c r="E14" s="106"/>
      <c r="F14" s="106"/>
      <c r="G14" s="106"/>
      <c r="H14" s="105"/>
      <c r="I14" s="106"/>
      <c r="J14" s="106"/>
      <c r="K14" s="28"/>
    </row>
    <row r="15" spans="1:11" x14ac:dyDescent="0.2">
      <c r="A15" s="210">
        <v>8</v>
      </c>
      <c r="B15" s="36" t="s">
        <v>2520</v>
      </c>
      <c r="C15" s="106"/>
      <c r="D15" s="106"/>
      <c r="E15" s="106"/>
      <c r="F15" s="106"/>
      <c r="G15" s="106"/>
      <c r="H15" s="105"/>
      <c r="I15" s="106"/>
      <c r="J15" s="106"/>
      <c r="K15" s="28"/>
    </row>
    <row r="16" spans="1:11" x14ac:dyDescent="0.2">
      <c r="A16" s="210">
        <v>9</v>
      </c>
      <c r="B16" s="36" t="s">
        <v>2521</v>
      </c>
      <c r="C16" s="106"/>
      <c r="D16" s="106"/>
      <c r="E16" s="106"/>
      <c r="F16" s="106"/>
      <c r="G16" s="106"/>
      <c r="H16" s="105"/>
      <c r="I16" s="106"/>
      <c r="J16" s="106"/>
      <c r="K16" s="28"/>
    </row>
    <row r="17" spans="1:11" x14ac:dyDescent="0.2">
      <c r="A17" s="210">
        <v>10</v>
      </c>
      <c r="B17" s="36" t="s">
        <v>2522</v>
      </c>
      <c r="C17" s="106"/>
      <c r="D17" s="106"/>
      <c r="E17" s="106"/>
      <c r="F17" s="106"/>
      <c r="G17" s="106"/>
      <c r="H17" s="105"/>
      <c r="I17" s="106"/>
      <c r="J17" s="106"/>
      <c r="K17" s="28"/>
    </row>
    <row r="18" spans="1:11" x14ac:dyDescent="0.2">
      <c r="A18" s="210">
        <v>11</v>
      </c>
      <c r="B18" s="36" t="s">
        <v>2523</v>
      </c>
      <c r="C18" s="106"/>
      <c r="D18" s="106"/>
      <c r="E18" s="106"/>
      <c r="F18" s="106"/>
      <c r="G18" s="106"/>
      <c r="H18" s="105"/>
      <c r="I18" s="106"/>
      <c r="J18" s="106"/>
      <c r="K18" s="28"/>
    </row>
    <row r="19" spans="1:11" x14ac:dyDescent="0.2">
      <c r="A19" s="210">
        <v>12</v>
      </c>
      <c r="B19" s="36" t="s">
        <v>2524</v>
      </c>
      <c r="C19" s="106"/>
      <c r="D19" s="106"/>
      <c r="E19" s="106"/>
      <c r="F19" s="106"/>
      <c r="G19" s="106"/>
      <c r="H19" s="105"/>
      <c r="I19" s="106"/>
      <c r="J19" s="106"/>
      <c r="K19" s="28"/>
    </row>
    <row r="20" spans="1:11" x14ac:dyDescent="0.2">
      <c r="A20" s="210">
        <v>13</v>
      </c>
      <c r="B20" s="36" t="s">
        <v>2525</v>
      </c>
      <c r="C20" s="106"/>
      <c r="D20" s="106"/>
      <c r="E20" s="106"/>
      <c r="F20" s="106"/>
      <c r="G20" s="106"/>
      <c r="H20" s="105"/>
      <c r="I20" s="106"/>
      <c r="J20" s="106"/>
      <c r="K20" s="28"/>
    </row>
    <row r="21" spans="1:11" x14ac:dyDescent="0.2">
      <c r="A21" s="210">
        <v>14</v>
      </c>
      <c r="B21" s="36" t="s">
        <v>2526</v>
      </c>
      <c r="C21" s="106"/>
      <c r="D21" s="106"/>
      <c r="E21" s="106"/>
      <c r="F21" s="106"/>
      <c r="G21" s="106"/>
      <c r="H21" s="105"/>
      <c r="I21" s="106"/>
      <c r="J21" s="106"/>
      <c r="K21" s="28"/>
    </row>
    <row r="22" spans="1:11" x14ac:dyDescent="0.2">
      <c r="A22" s="210">
        <v>15</v>
      </c>
      <c r="B22" s="36" t="s">
        <v>2527</v>
      </c>
      <c r="C22" s="106"/>
      <c r="D22" s="106"/>
      <c r="E22" s="106"/>
      <c r="F22" s="106"/>
      <c r="G22" s="106"/>
      <c r="H22" s="105"/>
      <c r="I22" s="106"/>
      <c r="J22" s="106"/>
      <c r="K22" s="28"/>
    </row>
    <row r="23" spans="1:11" x14ac:dyDescent="0.2">
      <c r="A23" s="210">
        <v>16</v>
      </c>
      <c r="B23" s="36" t="s">
        <v>2528</v>
      </c>
      <c r="C23" s="106"/>
      <c r="D23" s="106"/>
      <c r="E23" s="106"/>
      <c r="F23" s="106"/>
      <c r="G23" s="106"/>
      <c r="H23" s="105"/>
      <c r="I23" s="106"/>
      <c r="J23" s="106"/>
      <c r="K23" s="28"/>
    </row>
    <row r="24" spans="1:11" x14ac:dyDescent="0.2">
      <c r="A24" s="210">
        <v>17</v>
      </c>
      <c r="B24" s="36" t="s">
        <v>2529</v>
      </c>
      <c r="C24" s="106"/>
      <c r="D24" s="106"/>
      <c r="E24" s="106"/>
      <c r="F24" s="106"/>
      <c r="G24" s="106"/>
      <c r="H24" s="105"/>
      <c r="I24" s="106"/>
      <c r="J24" s="106"/>
      <c r="K24" s="28"/>
    </row>
    <row r="25" spans="1:11" x14ac:dyDescent="0.2">
      <c r="A25" s="210">
        <v>18</v>
      </c>
      <c r="B25" s="36" t="s">
        <v>2530</v>
      </c>
      <c r="C25" s="106"/>
      <c r="D25" s="106"/>
      <c r="E25" s="106"/>
      <c r="F25" s="106"/>
      <c r="G25" s="106"/>
      <c r="H25" s="105"/>
      <c r="I25" s="106"/>
      <c r="J25" s="106"/>
      <c r="K25" s="28"/>
    </row>
    <row r="26" spans="1:11" x14ac:dyDescent="0.2">
      <c r="A26" s="210">
        <v>19</v>
      </c>
      <c r="B26" s="36" t="s">
        <v>2531</v>
      </c>
      <c r="C26" s="106"/>
      <c r="D26" s="106"/>
      <c r="E26" s="106"/>
      <c r="F26" s="106"/>
      <c r="G26" s="106"/>
      <c r="H26" s="105"/>
      <c r="I26" s="106"/>
      <c r="J26" s="106"/>
      <c r="K26" s="28"/>
    </row>
    <row r="27" spans="1:11" x14ac:dyDescent="0.2">
      <c r="A27" s="210">
        <v>20</v>
      </c>
      <c r="B27" s="36" t="s">
        <v>2532</v>
      </c>
      <c r="C27" s="106"/>
      <c r="D27" s="106"/>
      <c r="E27" s="106"/>
      <c r="F27" s="106"/>
      <c r="G27" s="106"/>
      <c r="H27" s="105"/>
      <c r="I27" s="106"/>
      <c r="J27" s="106"/>
      <c r="K27" s="28"/>
    </row>
    <row r="28" spans="1:11" x14ac:dyDescent="0.2">
      <c r="A28" s="210">
        <v>21</v>
      </c>
      <c r="B28" s="36" t="s">
        <v>2533</v>
      </c>
      <c r="C28" s="106"/>
      <c r="D28" s="106"/>
      <c r="E28" s="106"/>
      <c r="F28" s="106"/>
      <c r="G28" s="106"/>
      <c r="H28" s="105"/>
      <c r="I28" s="106"/>
      <c r="J28" s="106"/>
      <c r="K28" s="28"/>
    </row>
    <row r="29" spans="1:11" x14ac:dyDescent="0.2">
      <c r="A29" s="210">
        <v>22</v>
      </c>
      <c r="B29" s="36" t="s">
        <v>2534</v>
      </c>
      <c r="C29" s="106"/>
      <c r="D29" s="106"/>
      <c r="E29" s="106"/>
      <c r="F29" s="106"/>
      <c r="G29" s="106"/>
      <c r="H29" s="105"/>
      <c r="I29" s="106"/>
      <c r="J29" s="106"/>
      <c r="K29" s="28"/>
    </row>
    <row r="30" spans="1:11" x14ac:dyDescent="0.2">
      <c r="A30" s="210">
        <v>23</v>
      </c>
      <c r="B30" s="36" t="s">
        <v>2535</v>
      </c>
      <c r="C30" s="106"/>
      <c r="D30" s="106"/>
      <c r="E30" s="106"/>
      <c r="F30" s="106"/>
      <c r="G30" s="106"/>
      <c r="H30" s="105"/>
      <c r="I30" s="106"/>
      <c r="J30" s="106"/>
      <c r="K30" s="28"/>
    </row>
    <row r="31" spans="1:11" x14ac:dyDescent="0.2">
      <c r="A31" s="210">
        <v>24</v>
      </c>
      <c r="B31" s="36" t="s">
        <v>2536</v>
      </c>
      <c r="C31" s="106"/>
      <c r="D31" s="106"/>
      <c r="E31" s="106"/>
      <c r="F31" s="106"/>
      <c r="G31" s="106"/>
      <c r="H31" s="105"/>
      <c r="I31" s="106"/>
      <c r="J31" s="106"/>
      <c r="K31" s="28"/>
    </row>
    <row r="32" spans="1:11" x14ac:dyDescent="0.2">
      <c r="A32" s="210">
        <v>25</v>
      </c>
      <c r="B32" s="36" t="s">
        <v>2537</v>
      </c>
      <c r="C32" s="106"/>
      <c r="D32" s="106"/>
      <c r="E32" s="106"/>
      <c r="F32" s="106"/>
      <c r="G32" s="106"/>
      <c r="H32" s="105"/>
      <c r="I32" s="106"/>
      <c r="J32" s="106"/>
      <c r="K32" s="28"/>
    </row>
    <row r="33" spans="1:11" x14ac:dyDescent="0.2">
      <c r="A33" s="210">
        <v>26</v>
      </c>
      <c r="B33" s="36" t="s">
        <v>2538</v>
      </c>
      <c r="C33" s="106"/>
      <c r="D33" s="106"/>
      <c r="E33" s="106"/>
      <c r="F33" s="106"/>
      <c r="G33" s="106"/>
      <c r="H33" s="105"/>
      <c r="I33" s="106"/>
      <c r="J33" s="106"/>
      <c r="K33" s="28"/>
    </row>
    <row r="34" spans="1:11" x14ac:dyDescent="0.2">
      <c r="A34" s="210">
        <v>27</v>
      </c>
      <c r="B34" s="36" t="s">
        <v>2539</v>
      </c>
      <c r="C34" s="106"/>
      <c r="D34" s="106"/>
      <c r="E34" s="106"/>
      <c r="F34" s="106"/>
      <c r="G34" s="106"/>
      <c r="H34" s="105"/>
      <c r="I34" s="106"/>
      <c r="J34" s="106"/>
      <c r="K34" s="28"/>
    </row>
    <row r="35" spans="1:11" x14ac:dyDescent="0.2">
      <c r="A35" s="211">
        <v>28</v>
      </c>
      <c r="B35" s="212" t="s">
        <v>2540</v>
      </c>
      <c r="C35" s="213"/>
      <c r="D35" s="213"/>
      <c r="E35" s="213"/>
      <c r="F35" s="213"/>
      <c r="G35" s="213"/>
      <c r="H35" s="214"/>
      <c r="I35" s="213"/>
      <c r="J35" s="213"/>
      <c r="K35" s="215"/>
    </row>
    <row r="36" spans="1:11" x14ac:dyDescent="0.2">
      <c r="A36" s="4"/>
      <c r="B36" s="4"/>
      <c r="C36" s="4"/>
      <c r="D36" s="4"/>
      <c r="E36" s="4"/>
      <c r="F36" s="4"/>
      <c r="G36" s="4"/>
      <c r="H36" s="4"/>
      <c r="I36" s="4"/>
      <c r="J36" s="4"/>
      <c r="K36" s="4"/>
    </row>
    <row r="37" spans="1:11" ht="20" customHeight="1" x14ac:dyDescent="0.2">
      <c r="A37" s="245" t="s">
        <v>2102</v>
      </c>
      <c r="B37" s="245"/>
      <c r="C37" s="245"/>
      <c r="D37" s="245"/>
      <c r="E37" s="245"/>
      <c r="F37" s="245"/>
      <c r="G37" s="245"/>
      <c r="H37" s="245"/>
      <c r="I37" s="245"/>
      <c r="J37" s="245"/>
      <c r="K37" s="245"/>
    </row>
    <row r="38" spans="1:11" x14ac:dyDescent="0.2">
      <c r="A38" s="246" t="s">
        <v>2103</v>
      </c>
      <c r="B38" s="246"/>
      <c r="C38" s="246"/>
      <c r="D38" s="246" t="s">
        <v>2104</v>
      </c>
      <c r="E38" s="246"/>
      <c r="F38" s="246"/>
      <c r="G38" s="246" t="s">
        <v>2105</v>
      </c>
      <c r="H38" s="246"/>
      <c r="I38" s="246"/>
      <c r="J38" s="246" t="s">
        <v>973</v>
      </c>
      <c r="K38" s="246"/>
    </row>
    <row r="39" spans="1:11" ht="26" customHeight="1" x14ac:dyDescent="0.2">
      <c r="A39" s="235"/>
      <c r="B39" s="236"/>
      <c r="C39" s="236"/>
      <c r="D39" s="236"/>
      <c r="E39" s="236"/>
      <c r="F39" s="236"/>
      <c r="G39" s="236"/>
      <c r="H39" s="236"/>
      <c r="I39" s="236"/>
      <c r="J39" s="237"/>
      <c r="K39"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9:C39"/>
    <mergeCell ref="D39:F39"/>
    <mergeCell ref="G39:I39"/>
    <mergeCell ref="J39:K39"/>
    <mergeCell ref="A5:B5"/>
    <mergeCell ref="C5:D5"/>
    <mergeCell ref="E5:F5"/>
    <mergeCell ref="G5:H5"/>
    <mergeCell ref="J5:K5"/>
    <mergeCell ref="A6:B6"/>
    <mergeCell ref="J6:K6"/>
    <mergeCell ref="A37:K37"/>
    <mergeCell ref="A38:C38"/>
    <mergeCell ref="D38:F38"/>
    <mergeCell ref="G38:I38"/>
    <mergeCell ref="J38:K38"/>
  </mergeCells>
  <conditionalFormatting sqref="C8:F35">
    <cfRule type="containsText" dxfId="26" priority="3" operator="containsText" text="No">
      <formula>NOT(ISERROR(SEARCH("No",C8)))</formula>
    </cfRule>
  </conditionalFormatting>
  <conditionalFormatting sqref="G8:G35">
    <cfRule type="containsText" dxfId="25" priority="1" operator="containsText" text="Pass">
      <formula>NOT(ISERROR(SEARCH("Pass",G8)))</formula>
    </cfRule>
    <cfRule type="containsText" dxfId="24" priority="2" operator="containsText" text="Fail">
      <formula>NOT(ISERROR(SEARCH("Fail",G8)))</formula>
    </cfRule>
  </conditionalFormatting>
  <dataValidations count="3">
    <dataValidation type="list" allowBlank="1" showInputMessage="1" showErrorMessage="1" sqref="C8:C35 D8:D35 E8:E35 F8:F35" xr:uid="{FFF6841F-14C8-3644-96F6-65D5BC912F46}">
      <formula1>"Yes,No,N/A"</formula1>
    </dataValidation>
    <dataValidation type="list" allowBlank="1" showInputMessage="1" showErrorMessage="1" sqref="G8:G35" xr:uid="{DFC88AC1-8321-8544-85D8-35ED3C7203F2}">
      <formula1>"Pass,Fail,N/A"</formula1>
    </dataValidation>
    <dataValidation type="list" allowBlank="1" showInputMessage="1" showErrorMessage="1" sqref="G5" xr:uid="{7DE4BDF2-F929-1F4A-87DF-A8C2598BFC1F}">
      <formula1>"1 - Preparatory,2 - Work Readiness,3 - First Work Review,4 - Follow-Up"</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0FC91-849C-4E47-BBB5-B4EC332A1F10}">
  <dimension ref="A1:K31"/>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2541</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408</v>
      </c>
      <c r="H3" s="239"/>
      <c r="I3" s="217" t="s">
        <v>219</v>
      </c>
      <c r="J3" s="239" t="s">
        <v>2215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357</v>
      </c>
      <c r="B5" s="239"/>
      <c r="C5" s="240"/>
      <c r="D5" s="240"/>
      <c r="E5" s="240"/>
      <c r="F5" s="240"/>
      <c r="G5" s="240"/>
      <c r="H5" s="240"/>
      <c r="I5" s="216"/>
      <c r="J5" s="241"/>
      <c r="K5" s="240"/>
    </row>
    <row r="6" spans="1:11" ht="20" customHeight="1" x14ac:dyDescent="0.2">
      <c r="A6" s="242" t="s">
        <v>2073</v>
      </c>
      <c r="B6" s="242"/>
      <c r="C6" s="218" t="s">
        <v>2074</v>
      </c>
      <c r="D6" s="219">
        <f>COUNTA($B$8:$B$27)</f>
        <v>20</v>
      </c>
      <c r="E6" s="218" t="s">
        <v>188</v>
      </c>
      <c r="F6" s="219">
        <f>COUNTIF($G$8:$G$27,"Pass")</f>
        <v>0</v>
      </c>
      <c r="G6" s="218" t="s">
        <v>189</v>
      </c>
      <c r="H6" s="219">
        <f>COUNTIF($G$8:$G$27,"Fail")</f>
        <v>0</v>
      </c>
      <c r="I6" s="218" t="s">
        <v>132</v>
      </c>
      <c r="J6" s="243">
        <f>IF($D$6=0,0,($F$6+COUNTIF($G$8:$G$27,"N/A"))/$D$6)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2542</v>
      </c>
      <c r="C8" s="208"/>
      <c r="D8" s="208"/>
      <c r="E8" s="208"/>
      <c r="F8" s="208"/>
      <c r="G8" s="208"/>
      <c r="H8" s="209"/>
      <c r="I8" s="208"/>
      <c r="J8" s="208"/>
      <c r="K8" s="27"/>
    </row>
    <row r="9" spans="1:11" x14ac:dyDescent="0.2">
      <c r="A9" s="210">
        <v>2</v>
      </c>
      <c r="B9" s="36" t="s">
        <v>2543</v>
      </c>
      <c r="C9" s="106"/>
      <c r="D9" s="106"/>
      <c r="E9" s="106"/>
      <c r="F9" s="106"/>
      <c r="G9" s="106"/>
      <c r="H9" s="105"/>
      <c r="I9" s="106"/>
      <c r="J9" s="106"/>
      <c r="K9" s="28"/>
    </row>
    <row r="10" spans="1:11" x14ac:dyDescent="0.2">
      <c r="A10" s="210">
        <v>3</v>
      </c>
      <c r="B10" s="36" t="s">
        <v>2544</v>
      </c>
      <c r="C10" s="106"/>
      <c r="D10" s="106"/>
      <c r="E10" s="106"/>
      <c r="F10" s="106"/>
      <c r="G10" s="106"/>
      <c r="H10" s="105"/>
      <c r="I10" s="106"/>
      <c r="J10" s="106"/>
      <c r="K10" s="28"/>
    </row>
    <row r="11" spans="1:11" x14ac:dyDescent="0.2">
      <c r="A11" s="210">
        <v>4</v>
      </c>
      <c r="B11" s="36" t="s">
        <v>2545</v>
      </c>
      <c r="C11" s="106"/>
      <c r="D11" s="106"/>
      <c r="E11" s="106"/>
      <c r="F11" s="106"/>
      <c r="G11" s="106"/>
      <c r="H11" s="105"/>
      <c r="I11" s="106"/>
      <c r="J11" s="106"/>
      <c r="K11" s="28"/>
    </row>
    <row r="12" spans="1:11" x14ac:dyDescent="0.2">
      <c r="A12" s="210">
        <v>5</v>
      </c>
      <c r="B12" s="36" t="s">
        <v>2546</v>
      </c>
      <c r="C12" s="106"/>
      <c r="D12" s="106"/>
      <c r="E12" s="106"/>
      <c r="F12" s="106"/>
      <c r="G12" s="106"/>
      <c r="H12" s="105"/>
      <c r="I12" s="106"/>
      <c r="J12" s="106"/>
      <c r="K12" s="28"/>
    </row>
    <row r="13" spans="1:11" x14ac:dyDescent="0.2">
      <c r="A13" s="210">
        <v>6</v>
      </c>
      <c r="B13" s="36" t="s">
        <v>2547</v>
      </c>
      <c r="C13" s="106"/>
      <c r="D13" s="106"/>
      <c r="E13" s="106"/>
      <c r="F13" s="106"/>
      <c r="G13" s="106"/>
      <c r="H13" s="105"/>
      <c r="I13" s="106"/>
      <c r="J13" s="106"/>
      <c r="K13" s="28"/>
    </row>
    <row r="14" spans="1:11" x14ac:dyDescent="0.2">
      <c r="A14" s="210">
        <v>7</v>
      </c>
      <c r="B14" s="36" t="s">
        <v>2548</v>
      </c>
      <c r="C14" s="106"/>
      <c r="D14" s="106"/>
      <c r="E14" s="106"/>
      <c r="F14" s="106"/>
      <c r="G14" s="106"/>
      <c r="H14" s="105"/>
      <c r="I14" s="106"/>
      <c r="J14" s="106"/>
      <c r="K14" s="28"/>
    </row>
    <row r="15" spans="1:11" x14ac:dyDescent="0.2">
      <c r="A15" s="210">
        <v>8</v>
      </c>
      <c r="B15" s="36" t="s">
        <v>2549</v>
      </c>
      <c r="C15" s="106"/>
      <c r="D15" s="106"/>
      <c r="E15" s="106"/>
      <c r="F15" s="106"/>
      <c r="G15" s="106"/>
      <c r="H15" s="105"/>
      <c r="I15" s="106"/>
      <c r="J15" s="106"/>
      <c r="K15" s="28"/>
    </row>
    <row r="16" spans="1:11" x14ac:dyDescent="0.2">
      <c r="A16" s="210">
        <v>9</v>
      </c>
      <c r="B16" s="36" t="s">
        <v>2550</v>
      </c>
      <c r="C16" s="106"/>
      <c r="D16" s="106"/>
      <c r="E16" s="106"/>
      <c r="F16" s="106"/>
      <c r="G16" s="106"/>
      <c r="H16" s="105"/>
      <c r="I16" s="106"/>
      <c r="J16" s="106"/>
      <c r="K16" s="28"/>
    </row>
    <row r="17" spans="1:11" x14ac:dyDescent="0.2">
      <c r="A17" s="210">
        <v>10</v>
      </c>
      <c r="B17" s="36" t="s">
        <v>2551</v>
      </c>
      <c r="C17" s="106"/>
      <c r="D17" s="106"/>
      <c r="E17" s="106"/>
      <c r="F17" s="106"/>
      <c r="G17" s="106"/>
      <c r="H17" s="105"/>
      <c r="I17" s="106"/>
      <c r="J17" s="106"/>
      <c r="K17" s="28"/>
    </row>
    <row r="18" spans="1:11" x14ac:dyDescent="0.2">
      <c r="A18" s="210">
        <v>11</v>
      </c>
      <c r="B18" s="36" t="s">
        <v>2552</v>
      </c>
      <c r="C18" s="106"/>
      <c r="D18" s="106"/>
      <c r="E18" s="106"/>
      <c r="F18" s="106"/>
      <c r="G18" s="106"/>
      <c r="H18" s="105"/>
      <c r="I18" s="106"/>
      <c r="J18" s="106"/>
      <c r="K18" s="28"/>
    </row>
    <row r="19" spans="1:11" x14ac:dyDescent="0.2">
      <c r="A19" s="210">
        <v>12</v>
      </c>
      <c r="B19" s="36" t="s">
        <v>2553</v>
      </c>
      <c r="C19" s="106"/>
      <c r="D19" s="106"/>
      <c r="E19" s="106"/>
      <c r="F19" s="106"/>
      <c r="G19" s="106"/>
      <c r="H19" s="105"/>
      <c r="I19" s="106"/>
      <c r="J19" s="106"/>
      <c r="K19" s="28"/>
    </row>
    <row r="20" spans="1:11" x14ac:dyDescent="0.2">
      <c r="A20" s="210">
        <v>13</v>
      </c>
      <c r="B20" s="36" t="s">
        <v>2554</v>
      </c>
      <c r="C20" s="106"/>
      <c r="D20" s="106"/>
      <c r="E20" s="106"/>
      <c r="F20" s="106"/>
      <c r="G20" s="106"/>
      <c r="H20" s="105"/>
      <c r="I20" s="106"/>
      <c r="J20" s="106"/>
      <c r="K20" s="28"/>
    </row>
    <row r="21" spans="1:11" x14ac:dyDescent="0.2">
      <c r="A21" s="210">
        <v>14</v>
      </c>
      <c r="B21" s="36" t="s">
        <v>2555</v>
      </c>
      <c r="C21" s="106"/>
      <c r="D21" s="106"/>
      <c r="E21" s="106"/>
      <c r="F21" s="106"/>
      <c r="G21" s="106"/>
      <c r="H21" s="105"/>
      <c r="I21" s="106"/>
      <c r="J21" s="106"/>
      <c r="K21" s="28"/>
    </row>
    <row r="22" spans="1:11" x14ac:dyDescent="0.2">
      <c r="A22" s="210">
        <v>15</v>
      </c>
      <c r="B22" s="36" t="s">
        <v>2556</v>
      </c>
      <c r="C22" s="106"/>
      <c r="D22" s="106"/>
      <c r="E22" s="106"/>
      <c r="F22" s="106"/>
      <c r="G22" s="106"/>
      <c r="H22" s="105"/>
      <c r="I22" s="106"/>
      <c r="J22" s="106"/>
      <c r="K22" s="28"/>
    </row>
    <row r="23" spans="1:11" x14ac:dyDescent="0.2">
      <c r="A23" s="210">
        <v>16</v>
      </c>
      <c r="B23" s="36" t="s">
        <v>2557</v>
      </c>
      <c r="C23" s="106"/>
      <c r="D23" s="106"/>
      <c r="E23" s="106"/>
      <c r="F23" s="106"/>
      <c r="G23" s="106"/>
      <c r="H23" s="105"/>
      <c r="I23" s="106"/>
      <c r="J23" s="106"/>
      <c r="K23" s="28"/>
    </row>
    <row r="24" spans="1:11" x14ac:dyDescent="0.2">
      <c r="A24" s="210">
        <v>17</v>
      </c>
      <c r="B24" s="36" t="s">
        <v>2558</v>
      </c>
      <c r="C24" s="106"/>
      <c r="D24" s="106"/>
      <c r="E24" s="106"/>
      <c r="F24" s="106"/>
      <c r="G24" s="106"/>
      <c r="H24" s="105"/>
      <c r="I24" s="106"/>
      <c r="J24" s="106"/>
      <c r="K24" s="28"/>
    </row>
    <row r="25" spans="1:11" x14ac:dyDescent="0.2">
      <c r="A25" s="210">
        <v>18</v>
      </c>
      <c r="B25" s="36" t="s">
        <v>2559</v>
      </c>
      <c r="C25" s="106"/>
      <c r="D25" s="106"/>
      <c r="E25" s="106"/>
      <c r="F25" s="106"/>
      <c r="G25" s="106"/>
      <c r="H25" s="105"/>
      <c r="I25" s="106"/>
      <c r="J25" s="106"/>
      <c r="K25" s="28"/>
    </row>
    <row r="26" spans="1:11" x14ac:dyDescent="0.2">
      <c r="A26" s="210">
        <v>19</v>
      </c>
      <c r="B26" s="36" t="s">
        <v>2560</v>
      </c>
      <c r="C26" s="106"/>
      <c r="D26" s="106"/>
      <c r="E26" s="106"/>
      <c r="F26" s="106"/>
      <c r="G26" s="106"/>
      <c r="H26" s="105"/>
      <c r="I26" s="106"/>
      <c r="J26" s="106"/>
      <c r="K26" s="28"/>
    </row>
    <row r="27" spans="1:11" x14ac:dyDescent="0.2">
      <c r="A27" s="211">
        <v>20</v>
      </c>
      <c r="B27" s="212" t="s">
        <v>2561</v>
      </c>
      <c r="C27" s="213"/>
      <c r="D27" s="213"/>
      <c r="E27" s="213"/>
      <c r="F27" s="213"/>
      <c r="G27" s="213"/>
      <c r="H27" s="214"/>
      <c r="I27" s="213"/>
      <c r="J27" s="213"/>
      <c r="K27" s="215"/>
    </row>
    <row r="28" spans="1:11" x14ac:dyDescent="0.2">
      <c r="A28" s="4"/>
      <c r="B28" s="4"/>
      <c r="C28" s="4"/>
      <c r="D28" s="4"/>
      <c r="E28" s="4"/>
      <c r="F28" s="4"/>
      <c r="G28" s="4"/>
      <c r="H28" s="4"/>
      <c r="I28" s="4"/>
      <c r="J28" s="4"/>
      <c r="K28" s="4"/>
    </row>
    <row r="29" spans="1:11" ht="20" customHeight="1" x14ac:dyDescent="0.2">
      <c r="A29" s="245" t="s">
        <v>2102</v>
      </c>
      <c r="B29" s="245"/>
      <c r="C29" s="245"/>
      <c r="D29" s="245"/>
      <c r="E29" s="245"/>
      <c r="F29" s="245"/>
      <c r="G29" s="245"/>
      <c r="H29" s="245"/>
      <c r="I29" s="245"/>
      <c r="J29" s="245"/>
      <c r="K29" s="245"/>
    </row>
    <row r="30" spans="1:11" x14ac:dyDescent="0.2">
      <c r="A30" s="246" t="s">
        <v>2103</v>
      </c>
      <c r="B30" s="246"/>
      <c r="C30" s="246"/>
      <c r="D30" s="246" t="s">
        <v>2104</v>
      </c>
      <c r="E30" s="246"/>
      <c r="F30" s="246"/>
      <c r="G30" s="246" t="s">
        <v>2105</v>
      </c>
      <c r="H30" s="246"/>
      <c r="I30" s="246"/>
      <c r="J30" s="246" t="s">
        <v>973</v>
      </c>
      <c r="K30" s="246"/>
    </row>
    <row r="31" spans="1:11" ht="26" customHeight="1" x14ac:dyDescent="0.2">
      <c r="A31" s="235"/>
      <c r="B31" s="236"/>
      <c r="C31" s="236"/>
      <c r="D31" s="236"/>
      <c r="E31" s="236"/>
      <c r="F31" s="236"/>
      <c r="G31" s="236"/>
      <c r="H31" s="236"/>
      <c r="I31" s="236"/>
      <c r="J31" s="237"/>
      <c r="K31"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1:C31"/>
    <mergeCell ref="D31:F31"/>
    <mergeCell ref="G31:I31"/>
    <mergeCell ref="J31:K31"/>
    <mergeCell ref="A5:B5"/>
    <mergeCell ref="C5:D5"/>
    <mergeCell ref="E5:F5"/>
    <mergeCell ref="G5:H5"/>
    <mergeCell ref="J5:K5"/>
    <mergeCell ref="A6:B6"/>
    <mergeCell ref="J6:K6"/>
    <mergeCell ref="A29:K29"/>
    <mergeCell ref="A30:C30"/>
    <mergeCell ref="D30:F30"/>
    <mergeCell ref="G30:I30"/>
    <mergeCell ref="J30:K30"/>
  </mergeCells>
  <conditionalFormatting sqref="C8:F27">
    <cfRule type="containsText" dxfId="23" priority="3" operator="containsText" text="No">
      <formula>NOT(ISERROR(SEARCH("No",C8)))</formula>
    </cfRule>
  </conditionalFormatting>
  <conditionalFormatting sqref="G8:G27">
    <cfRule type="containsText" dxfId="22" priority="1" operator="containsText" text="Pass">
      <formula>NOT(ISERROR(SEARCH("Pass",G8)))</formula>
    </cfRule>
    <cfRule type="containsText" dxfId="21" priority="2" operator="containsText" text="Fail">
      <formula>NOT(ISERROR(SEARCH("Fail",G8)))</formula>
    </cfRule>
  </conditionalFormatting>
  <dataValidations count="3">
    <dataValidation type="list" allowBlank="1" showInputMessage="1" showErrorMessage="1" sqref="C8:C27 D8:D27 E8:E27 F8:F27" xr:uid="{D50663FA-8699-A84B-B921-BC6878529DC0}">
      <formula1>"Yes,No,N/A"</formula1>
    </dataValidation>
    <dataValidation type="list" allowBlank="1" showInputMessage="1" showErrorMessage="1" sqref="G8:G27" xr:uid="{E2079AA3-827D-B54A-937A-61C25FE46197}">
      <formula1>"Pass,Fail,N/A"</formula1>
    </dataValidation>
    <dataValidation type="list" allowBlank="1" showInputMessage="1" showErrorMessage="1" sqref="G5" xr:uid="{ABEF29C2-3161-6545-8DF6-300A9318863A}">
      <formula1>"1 - Preparatory,2 - Work Readiness,3 - First Work Review,4 - Follow-Up"</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41972-E6AC-2E4B-8026-7F083694B278}">
  <dimension ref="A1:K35"/>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2562</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377</v>
      </c>
      <c r="H3" s="239"/>
      <c r="I3" s="217" t="s">
        <v>221</v>
      </c>
      <c r="J3" s="239" t="s">
        <v>2066</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2563</v>
      </c>
      <c r="B5" s="239"/>
      <c r="C5" s="240"/>
      <c r="D5" s="240"/>
      <c r="E5" s="240"/>
      <c r="F5" s="240"/>
      <c r="G5" s="240"/>
      <c r="H5" s="240"/>
      <c r="I5" s="216"/>
      <c r="J5" s="241"/>
      <c r="K5" s="240"/>
    </row>
    <row r="6" spans="1:11" ht="20" customHeight="1" x14ac:dyDescent="0.2">
      <c r="A6" s="242" t="s">
        <v>2073</v>
      </c>
      <c r="B6" s="242"/>
      <c r="C6" s="218" t="s">
        <v>2074</v>
      </c>
      <c r="D6" s="219">
        <f>COUNTA($B$8:$B$31)</f>
        <v>24</v>
      </c>
      <c r="E6" s="218" t="s">
        <v>188</v>
      </c>
      <c r="F6" s="219">
        <f>COUNTIF($G$8:$G$31,"Pass")</f>
        <v>0</v>
      </c>
      <c r="G6" s="218" t="s">
        <v>189</v>
      </c>
      <c r="H6" s="219">
        <f>COUNTIF($G$8:$G$31,"Fail")</f>
        <v>0</v>
      </c>
      <c r="I6" s="218" t="s">
        <v>132</v>
      </c>
      <c r="J6" s="243">
        <f>IF($D$6=0,0,($F$6+COUNTIF($G$8:$G$31,"N/A"))/$D$6)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2564</v>
      </c>
      <c r="C8" s="208"/>
      <c r="D8" s="208"/>
      <c r="E8" s="208"/>
      <c r="F8" s="208"/>
      <c r="G8" s="208"/>
      <c r="H8" s="209"/>
      <c r="I8" s="208"/>
      <c r="J8" s="208"/>
      <c r="K8" s="27"/>
    </row>
    <row r="9" spans="1:11" x14ac:dyDescent="0.2">
      <c r="A9" s="210">
        <v>2</v>
      </c>
      <c r="B9" s="36" t="s">
        <v>2565</v>
      </c>
      <c r="C9" s="106"/>
      <c r="D9" s="106"/>
      <c r="E9" s="106"/>
      <c r="F9" s="106"/>
      <c r="G9" s="106"/>
      <c r="H9" s="105"/>
      <c r="I9" s="106"/>
      <c r="J9" s="106"/>
      <c r="K9" s="28"/>
    </row>
    <row r="10" spans="1:11" x14ac:dyDescent="0.2">
      <c r="A10" s="210">
        <v>3</v>
      </c>
      <c r="B10" s="36" t="s">
        <v>2566</v>
      </c>
      <c r="C10" s="106"/>
      <c r="D10" s="106"/>
      <c r="E10" s="106"/>
      <c r="F10" s="106"/>
      <c r="G10" s="106"/>
      <c r="H10" s="105"/>
      <c r="I10" s="106"/>
      <c r="J10" s="106"/>
      <c r="K10" s="28"/>
    </row>
    <row r="11" spans="1:11" x14ac:dyDescent="0.2">
      <c r="A11" s="210">
        <v>4</v>
      </c>
      <c r="B11" s="36" t="s">
        <v>2567</v>
      </c>
      <c r="C11" s="106"/>
      <c r="D11" s="106"/>
      <c r="E11" s="106"/>
      <c r="F11" s="106"/>
      <c r="G11" s="106"/>
      <c r="H11" s="105"/>
      <c r="I11" s="106"/>
      <c r="J11" s="106"/>
      <c r="K11" s="28"/>
    </row>
    <row r="12" spans="1:11" x14ac:dyDescent="0.2">
      <c r="A12" s="210">
        <v>5</v>
      </c>
      <c r="B12" s="36" t="s">
        <v>2568</v>
      </c>
      <c r="C12" s="106"/>
      <c r="D12" s="106"/>
      <c r="E12" s="106"/>
      <c r="F12" s="106"/>
      <c r="G12" s="106"/>
      <c r="H12" s="105"/>
      <c r="I12" s="106"/>
      <c r="J12" s="106"/>
      <c r="K12" s="28"/>
    </row>
    <row r="13" spans="1:11" x14ac:dyDescent="0.2">
      <c r="A13" s="210">
        <v>6</v>
      </c>
      <c r="B13" s="36" t="s">
        <v>2569</v>
      </c>
      <c r="C13" s="106"/>
      <c r="D13" s="106"/>
      <c r="E13" s="106"/>
      <c r="F13" s="106"/>
      <c r="G13" s="106"/>
      <c r="H13" s="105"/>
      <c r="I13" s="106"/>
      <c r="J13" s="106"/>
      <c r="K13" s="28"/>
    </row>
    <row r="14" spans="1:11" x14ac:dyDescent="0.2">
      <c r="A14" s="210">
        <v>7</v>
      </c>
      <c r="B14" s="36" t="s">
        <v>2570</v>
      </c>
      <c r="C14" s="106"/>
      <c r="D14" s="106"/>
      <c r="E14" s="106"/>
      <c r="F14" s="106"/>
      <c r="G14" s="106"/>
      <c r="H14" s="105"/>
      <c r="I14" s="106"/>
      <c r="J14" s="106"/>
      <c r="K14" s="28"/>
    </row>
    <row r="15" spans="1:11" x14ac:dyDescent="0.2">
      <c r="A15" s="210">
        <v>8</v>
      </c>
      <c r="B15" s="36" t="s">
        <v>2571</v>
      </c>
      <c r="C15" s="106"/>
      <c r="D15" s="106"/>
      <c r="E15" s="106"/>
      <c r="F15" s="106"/>
      <c r="G15" s="106"/>
      <c r="H15" s="105"/>
      <c r="I15" s="106"/>
      <c r="J15" s="106"/>
      <c r="K15" s="28"/>
    </row>
    <row r="16" spans="1:11" x14ac:dyDescent="0.2">
      <c r="A16" s="210">
        <v>9</v>
      </c>
      <c r="B16" s="36" t="s">
        <v>2572</v>
      </c>
      <c r="C16" s="106"/>
      <c r="D16" s="106"/>
      <c r="E16" s="106"/>
      <c r="F16" s="106"/>
      <c r="G16" s="106"/>
      <c r="H16" s="105"/>
      <c r="I16" s="106"/>
      <c r="J16" s="106"/>
      <c r="K16" s="28"/>
    </row>
    <row r="17" spans="1:11" x14ac:dyDescent="0.2">
      <c r="A17" s="210">
        <v>10</v>
      </c>
      <c r="B17" s="36" t="s">
        <v>2573</v>
      </c>
      <c r="C17" s="106"/>
      <c r="D17" s="106"/>
      <c r="E17" s="106"/>
      <c r="F17" s="106"/>
      <c r="G17" s="106"/>
      <c r="H17" s="105"/>
      <c r="I17" s="106"/>
      <c r="J17" s="106"/>
      <c r="K17" s="28"/>
    </row>
    <row r="18" spans="1:11" x14ac:dyDescent="0.2">
      <c r="A18" s="210">
        <v>11</v>
      </c>
      <c r="B18" s="36" t="s">
        <v>2574</v>
      </c>
      <c r="C18" s="106"/>
      <c r="D18" s="106"/>
      <c r="E18" s="106"/>
      <c r="F18" s="106"/>
      <c r="G18" s="106"/>
      <c r="H18" s="105"/>
      <c r="I18" s="106"/>
      <c r="J18" s="106"/>
      <c r="K18" s="28"/>
    </row>
    <row r="19" spans="1:11" x14ac:dyDescent="0.2">
      <c r="A19" s="210">
        <v>12</v>
      </c>
      <c r="B19" s="36" t="s">
        <v>2575</v>
      </c>
      <c r="C19" s="106"/>
      <c r="D19" s="106"/>
      <c r="E19" s="106"/>
      <c r="F19" s="106"/>
      <c r="G19" s="106"/>
      <c r="H19" s="105"/>
      <c r="I19" s="106"/>
      <c r="J19" s="106"/>
      <c r="K19" s="28"/>
    </row>
    <row r="20" spans="1:11" x14ac:dyDescent="0.2">
      <c r="A20" s="210">
        <v>13</v>
      </c>
      <c r="B20" s="36" t="s">
        <v>2576</v>
      </c>
      <c r="C20" s="106"/>
      <c r="D20" s="106"/>
      <c r="E20" s="106"/>
      <c r="F20" s="106"/>
      <c r="G20" s="106"/>
      <c r="H20" s="105"/>
      <c r="I20" s="106"/>
      <c r="J20" s="106"/>
      <c r="K20" s="28"/>
    </row>
    <row r="21" spans="1:11" x14ac:dyDescent="0.2">
      <c r="A21" s="210">
        <v>14</v>
      </c>
      <c r="B21" s="36" t="s">
        <v>2577</v>
      </c>
      <c r="C21" s="106"/>
      <c r="D21" s="106"/>
      <c r="E21" s="106"/>
      <c r="F21" s="106"/>
      <c r="G21" s="106"/>
      <c r="H21" s="105"/>
      <c r="I21" s="106"/>
      <c r="J21" s="106"/>
      <c r="K21" s="28"/>
    </row>
    <row r="22" spans="1:11" x14ac:dyDescent="0.2">
      <c r="A22" s="210">
        <v>15</v>
      </c>
      <c r="B22" s="36" t="s">
        <v>2578</v>
      </c>
      <c r="C22" s="106"/>
      <c r="D22" s="106"/>
      <c r="E22" s="106"/>
      <c r="F22" s="106"/>
      <c r="G22" s="106"/>
      <c r="H22" s="105"/>
      <c r="I22" s="106"/>
      <c r="J22" s="106"/>
      <c r="K22" s="28"/>
    </row>
    <row r="23" spans="1:11" x14ac:dyDescent="0.2">
      <c r="A23" s="210">
        <v>16</v>
      </c>
      <c r="B23" s="36" t="s">
        <v>2579</v>
      </c>
      <c r="C23" s="106"/>
      <c r="D23" s="106"/>
      <c r="E23" s="106"/>
      <c r="F23" s="106"/>
      <c r="G23" s="106"/>
      <c r="H23" s="105"/>
      <c r="I23" s="106"/>
      <c r="J23" s="106"/>
      <c r="K23" s="28"/>
    </row>
    <row r="24" spans="1:11" x14ac:dyDescent="0.2">
      <c r="A24" s="210">
        <v>17</v>
      </c>
      <c r="B24" s="36" t="s">
        <v>2580</v>
      </c>
      <c r="C24" s="106"/>
      <c r="D24" s="106"/>
      <c r="E24" s="106"/>
      <c r="F24" s="106"/>
      <c r="G24" s="106"/>
      <c r="H24" s="105"/>
      <c r="I24" s="106"/>
      <c r="J24" s="106"/>
      <c r="K24" s="28"/>
    </row>
    <row r="25" spans="1:11" x14ac:dyDescent="0.2">
      <c r="A25" s="210">
        <v>18</v>
      </c>
      <c r="B25" s="36" t="s">
        <v>2581</v>
      </c>
      <c r="C25" s="106"/>
      <c r="D25" s="106"/>
      <c r="E25" s="106"/>
      <c r="F25" s="106"/>
      <c r="G25" s="106"/>
      <c r="H25" s="105"/>
      <c r="I25" s="106"/>
      <c r="J25" s="106"/>
      <c r="K25" s="28"/>
    </row>
    <row r="26" spans="1:11" x14ac:dyDescent="0.2">
      <c r="A26" s="210">
        <v>19</v>
      </c>
      <c r="B26" s="36" t="s">
        <v>2582</v>
      </c>
      <c r="C26" s="106"/>
      <c r="D26" s="106"/>
      <c r="E26" s="106"/>
      <c r="F26" s="106"/>
      <c r="G26" s="106"/>
      <c r="H26" s="105"/>
      <c r="I26" s="106"/>
      <c r="J26" s="106"/>
      <c r="K26" s="28"/>
    </row>
    <row r="27" spans="1:11" x14ac:dyDescent="0.2">
      <c r="A27" s="210">
        <v>20</v>
      </c>
      <c r="B27" s="36" t="s">
        <v>2583</v>
      </c>
      <c r="C27" s="106"/>
      <c r="D27" s="106"/>
      <c r="E27" s="106"/>
      <c r="F27" s="106"/>
      <c r="G27" s="106"/>
      <c r="H27" s="105"/>
      <c r="I27" s="106"/>
      <c r="J27" s="106"/>
      <c r="K27" s="28"/>
    </row>
    <row r="28" spans="1:11" x14ac:dyDescent="0.2">
      <c r="A28" s="210">
        <v>21</v>
      </c>
      <c r="B28" s="36" t="s">
        <v>2584</v>
      </c>
      <c r="C28" s="106"/>
      <c r="D28" s="106"/>
      <c r="E28" s="106"/>
      <c r="F28" s="106"/>
      <c r="G28" s="106"/>
      <c r="H28" s="105"/>
      <c r="I28" s="106"/>
      <c r="J28" s="106"/>
      <c r="K28" s="28"/>
    </row>
    <row r="29" spans="1:11" x14ac:dyDescent="0.2">
      <c r="A29" s="210">
        <v>22</v>
      </c>
      <c r="B29" s="36" t="s">
        <v>2585</v>
      </c>
      <c r="C29" s="106"/>
      <c r="D29" s="106"/>
      <c r="E29" s="106"/>
      <c r="F29" s="106"/>
      <c r="G29" s="106"/>
      <c r="H29" s="105"/>
      <c r="I29" s="106"/>
      <c r="J29" s="106"/>
      <c r="K29" s="28"/>
    </row>
    <row r="30" spans="1:11" x14ac:dyDescent="0.2">
      <c r="A30" s="210">
        <v>23</v>
      </c>
      <c r="B30" s="36" t="s">
        <v>2586</v>
      </c>
      <c r="C30" s="106"/>
      <c r="D30" s="106"/>
      <c r="E30" s="106"/>
      <c r="F30" s="106"/>
      <c r="G30" s="106"/>
      <c r="H30" s="105"/>
      <c r="I30" s="106"/>
      <c r="J30" s="106"/>
      <c r="K30" s="28"/>
    </row>
    <row r="31" spans="1:11" x14ac:dyDescent="0.2">
      <c r="A31" s="211">
        <v>24</v>
      </c>
      <c r="B31" s="212" t="s">
        <v>2587</v>
      </c>
      <c r="C31" s="213"/>
      <c r="D31" s="213"/>
      <c r="E31" s="213"/>
      <c r="F31" s="213"/>
      <c r="G31" s="213"/>
      <c r="H31" s="214"/>
      <c r="I31" s="213"/>
      <c r="J31" s="213"/>
      <c r="K31" s="215"/>
    </row>
    <row r="32" spans="1:11" x14ac:dyDescent="0.2">
      <c r="A32" s="4"/>
      <c r="B32" s="4"/>
      <c r="C32" s="4"/>
      <c r="D32" s="4"/>
      <c r="E32" s="4"/>
      <c r="F32" s="4"/>
      <c r="G32" s="4"/>
      <c r="H32" s="4"/>
      <c r="I32" s="4"/>
      <c r="J32" s="4"/>
      <c r="K32" s="4"/>
    </row>
    <row r="33" spans="1:11" ht="20" customHeight="1" x14ac:dyDescent="0.2">
      <c r="A33" s="245" t="s">
        <v>2102</v>
      </c>
      <c r="B33" s="245"/>
      <c r="C33" s="245"/>
      <c r="D33" s="245"/>
      <c r="E33" s="245"/>
      <c r="F33" s="245"/>
      <c r="G33" s="245"/>
      <c r="H33" s="245"/>
      <c r="I33" s="245"/>
      <c r="J33" s="245"/>
      <c r="K33" s="245"/>
    </row>
    <row r="34" spans="1:11" x14ac:dyDescent="0.2">
      <c r="A34" s="246" t="s">
        <v>2103</v>
      </c>
      <c r="B34" s="246"/>
      <c r="C34" s="246"/>
      <c r="D34" s="246" t="s">
        <v>2104</v>
      </c>
      <c r="E34" s="246"/>
      <c r="F34" s="246"/>
      <c r="G34" s="246" t="s">
        <v>2105</v>
      </c>
      <c r="H34" s="246"/>
      <c r="I34" s="246"/>
      <c r="J34" s="246" t="s">
        <v>973</v>
      </c>
      <c r="K34" s="246"/>
    </row>
    <row r="35" spans="1:11" ht="26" customHeight="1" x14ac:dyDescent="0.2">
      <c r="A35" s="235"/>
      <c r="B35" s="236"/>
      <c r="C35" s="236"/>
      <c r="D35" s="236"/>
      <c r="E35" s="236"/>
      <c r="F35" s="236"/>
      <c r="G35" s="236"/>
      <c r="H35" s="236"/>
      <c r="I35" s="236"/>
      <c r="J35" s="237"/>
      <c r="K35"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5:C35"/>
    <mergeCell ref="D35:F35"/>
    <mergeCell ref="G35:I35"/>
    <mergeCell ref="J35:K35"/>
    <mergeCell ref="A5:B5"/>
    <mergeCell ref="C5:D5"/>
    <mergeCell ref="E5:F5"/>
    <mergeCell ref="G5:H5"/>
    <mergeCell ref="J5:K5"/>
    <mergeCell ref="A6:B6"/>
    <mergeCell ref="J6:K6"/>
    <mergeCell ref="A33:K33"/>
    <mergeCell ref="A34:C34"/>
    <mergeCell ref="D34:F34"/>
    <mergeCell ref="G34:I34"/>
    <mergeCell ref="J34:K34"/>
  </mergeCells>
  <conditionalFormatting sqref="C8:F31">
    <cfRule type="containsText" dxfId="20" priority="3" operator="containsText" text="No">
      <formula>NOT(ISERROR(SEARCH("No",C8)))</formula>
    </cfRule>
  </conditionalFormatting>
  <conditionalFormatting sqref="G8:G31">
    <cfRule type="containsText" dxfId="19" priority="1" operator="containsText" text="Pass">
      <formula>NOT(ISERROR(SEARCH("Pass",G8)))</formula>
    </cfRule>
    <cfRule type="containsText" dxfId="18" priority="2" operator="containsText" text="Fail">
      <formula>NOT(ISERROR(SEARCH("Fail",G8)))</formula>
    </cfRule>
  </conditionalFormatting>
  <dataValidations count="3">
    <dataValidation type="list" allowBlank="1" showInputMessage="1" showErrorMessage="1" sqref="C8:C31 D8:D31 E8:E31 F8:F31" xr:uid="{5942CC1C-B789-AE4A-A090-9B63DB4A32A8}">
      <formula1>"Yes,No,N/A"</formula1>
    </dataValidation>
    <dataValidation type="list" allowBlank="1" showInputMessage="1" showErrorMessage="1" sqref="G8:G31" xr:uid="{354B8904-0E1D-194B-A8E3-F6C343159F0B}">
      <formula1>"Pass,Fail,N/A"</formula1>
    </dataValidation>
    <dataValidation type="list" allowBlank="1" showInputMessage="1" showErrorMessage="1" sqref="G5" xr:uid="{88396ADD-1DA5-E64C-805B-69C3E673AA39}">
      <formula1>"1 - Preparatory,2 - Work Readiness,3 - First Work Review,4 - Follow-Up"</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9FC8-C975-C047-995B-8DCCC4355CC0}">
  <dimension ref="A1:K30"/>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2588</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419</v>
      </c>
      <c r="H3" s="239"/>
      <c r="I3" s="217" t="s">
        <v>223</v>
      </c>
      <c r="J3" s="239" t="s">
        <v>2589</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314</v>
      </c>
      <c r="B5" s="239"/>
      <c r="C5" s="240"/>
      <c r="D5" s="240"/>
      <c r="E5" s="240"/>
      <c r="F5" s="240"/>
      <c r="G5" s="240"/>
      <c r="H5" s="240"/>
      <c r="I5" s="216"/>
      <c r="J5" s="241"/>
      <c r="K5" s="240"/>
    </row>
    <row r="6" spans="1:11" ht="20" customHeight="1" x14ac:dyDescent="0.2">
      <c r="A6" s="242" t="s">
        <v>2073</v>
      </c>
      <c r="B6" s="242"/>
      <c r="C6" s="218" t="s">
        <v>2074</v>
      </c>
      <c r="D6" s="219">
        <f>COUNTA($B$8:$B$26)</f>
        <v>19</v>
      </c>
      <c r="E6" s="218" t="s">
        <v>188</v>
      </c>
      <c r="F6" s="219">
        <f>COUNTIF($G$8:$G$26,"Pass")</f>
        <v>0</v>
      </c>
      <c r="G6" s="218" t="s">
        <v>189</v>
      </c>
      <c r="H6" s="219">
        <f>COUNTIF($G$8:$G$26,"Fail")</f>
        <v>0</v>
      </c>
      <c r="I6" s="218" t="s">
        <v>132</v>
      </c>
      <c r="J6" s="243">
        <f>IF($D$6=0,0,($F$6+COUNTIF($G$8:$G$26,"N/A"))/$D$6)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2590</v>
      </c>
      <c r="C8" s="208"/>
      <c r="D8" s="208"/>
      <c r="E8" s="208"/>
      <c r="F8" s="208"/>
      <c r="G8" s="208"/>
      <c r="H8" s="209"/>
      <c r="I8" s="208"/>
      <c r="J8" s="208"/>
      <c r="K8" s="27"/>
    </row>
    <row r="9" spans="1:11" x14ac:dyDescent="0.2">
      <c r="A9" s="210">
        <v>2</v>
      </c>
      <c r="B9" s="36" t="s">
        <v>2591</v>
      </c>
      <c r="C9" s="106"/>
      <c r="D9" s="106"/>
      <c r="E9" s="106"/>
      <c r="F9" s="106"/>
      <c r="G9" s="106"/>
      <c r="H9" s="105"/>
      <c r="I9" s="106"/>
      <c r="J9" s="106"/>
      <c r="K9" s="28"/>
    </row>
    <row r="10" spans="1:11" x14ac:dyDescent="0.2">
      <c r="A10" s="210">
        <v>3</v>
      </c>
      <c r="B10" s="36" t="s">
        <v>2592</v>
      </c>
      <c r="C10" s="106"/>
      <c r="D10" s="106"/>
      <c r="E10" s="106"/>
      <c r="F10" s="106"/>
      <c r="G10" s="106"/>
      <c r="H10" s="105"/>
      <c r="I10" s="106"/>
      <c r="J10" s="106"/>
      <c r="K10" s="28"/>
    </row>
    <row r="11" spans="1:11" x14ac:dyDescent="0.2">
      <c r="A11" s="210">
        <v>4</v>
      </c>
      <c r="B11" s="36" t="s">
        <v>2593</v>
      </c>
      <c r="C11" s="106"/>
      <c r="D11" s="106"/>
      <c r="E11" s="106"/>
      <c r="F11" s="106"/>
      <c r="G11" s="106"/>
      <c r="H11" s="105"/>
      <c r="I11" s="106"/>
      <c r="J11" s="106"/>
      <c r="K11" s="28"/>
    </row>
    <row r="12" spans="1:11" x14ac:dyDescent="0.2">
      <c r="A12" s="210">
        <v>5</v>
      </c>
      <c r="B12" s="36" t="s">
        <v>2594</v>
      </c>
      <c r="C12" s="106"/>
      <c r="D12" s="106"/>
      <c r="E12" s="106"/>
      <c r="F12" s="106"/>
      <c r="G12" s="106"/>
      <c r="H12" s="105"/>
      <c r="I12" s="106"/>
      <c r="J12" s="106"/>
      <c r="K12" s="28"/>
    </row>
    <row r="13" spans="1:11" x14ac:dyDescent="0.2">
      <c r="A13" s="210">
        <v>6</v>
      </c>
      <c r="B13" s="36" t="s">
        <v>2595</v>
      </c>
      <c r="C13" s="106"/>
      <c r="D13" s="106"/>
      <c r="E13" s="106"/>
      <c r="F13" s="106"/>
      <c r="G13" s="106"/>
      <c r="H13" s="105"/>
      <c r="I13" s="106"/>
      <c r="J13" s="106"/>
      <c r="K13" s="28"/>
    </row>
    <row r="14" spans="1:11" x14ac:dyDescent="0.2">
      <c r="A14" s="210">
        <v>7</v>
      </c>
      <c r="B14" s="36" t="s">
        <v>2596</v>
      </c>
      <c r="C14" s="106"/>
      <c r="D14" s="106"/>
      <c r="E14" s="106"/>
      <c r="F14" s="106"/>
      <c r="G14" s="106"/>
      <c r="H14" s="105"/>
      <c r="I14" s="106"/>
      <c r="J14" s="106"/>
      <c r="K14" s="28"/>
    </row>
    <row r="15" spans="1:11" x14ac:dyDescent="0.2">
      <c r="A15" s="210">
        <v>8</v>
      </c>
      <c r="B15" s="36" t="s">
        <v>2597</v>
      </c>
      <c r="C15" s="106"/>
      <c r="D15" s="106"/>
      <c r="E15" s="106"/>
      <c r="F15" s="106"/>
      <c r="G15" s="106"/>
      <c r="H15" s="105"/>
      <c r="I15" s="106"/>
      <c r="J15" s="106"/>
      <c r="K15" s="28"/>
    </row>
    <row r="16" spans="1:11" x14ac:dyDescent="0.2">
      <c r="A16" s="210">
        <v>9</v>
      </c>
      <c r="B16" s="36" t="s">
        <v>2598</v>
      </c>
      <c r="C16" s="106"/>
      <c r="D16" s="106"/>
      <c r="E16" s="106"/>
      <c r="F16" s="106"/>
      <c r="G16" s="106"/>
      <c r="H16" s="105"/>
      <c r="I16" s="106"/>
      <c r="J16" s="106"/>
      <c r="K16" s="28"/>
    </row>
    <row r="17" spans="1:11" x14ac:dyDescent="0.2">
      <c r="A17" s="210">
        <v>10</v>
      </c>
      <c r="B17" s="36" t="s">
        <v>2599</v>
      </c>
      <c r="C17" s="106"/>
      <c r="D17" s="106"/>
      <c r="E17" s="106"/>
      <c r="F17" s="106"/>
      <c r="G17" s="106"/>
      <c r="H17" s="105"/>
      <c r="I17" s="106"/>
      <c r="J17" s="106"/>
      <c r="K17" s="28"/>
    </row>
    <row r="18" spans="1:11" x14ac:dyDescent="0.2">
      <c r="A18" s="210">
        <v>11</v>
      </c>
      <c r="B18" s="36" t="s">
        <v>2600</v>
      </c>
      <c r="C18" s="106"/>
      <c r="D18" s="106"/>
      <c r="E18" s="106"/>
      <c r="F18" s="106"/>
      <c r="G18" s="106"/>
      <c r="H18" s="105"/>
      <c r="I18" s="106"/>
      <c r="J18" s="106"/>
      <c r="K18" s="28"/>
    </row>
    <row r="19" spans="1:11" x14ac:dyDescent="0.2">
      <c r="A19" s="210">
        <v>12</v>
      </c>
      <c r="B19" s="36" t="s">
        <v>2601</v>
      </c>
      <c r="C19" s="106"/>
      <c r="D19" s="106"/>
      <c r="E19" s="106"/>
      <c r="F19" s="106"/>
      <c r="G19" s="106"/>
      <c r="H19" s="105"/>
      <c r="I19" s="106"/>
      <c r="J19" s="106"/>
      <c r="K19" s="28"/>
    </row>
    <row r="20" spans="1:11" x14ac:dyDescent="0.2">
      <c r="A20" s="210">
        <v>13</v>
      </c>
      <c r="B20" s="36" t="s">
        <v>2602</v>
      </c>
      <c r="C20" s="106"/>
      <c r="D20" s="106"/>
      <c r="E20" s="106"/>
      <c r="F20" s="106"/>
      <c r="G20" s="106"/>
      <c r="H20" s="105"/>
      <c r="I20" s="106"/>
      <c r="J20" s="106"/>
      <c r="K20" s="28"/>
    </row>
    <row r="21" spans="1:11" x14ac:dyDescent="0.2">
      <c r="A21" s="210">
        <v>14</v>
      </c>
      <c r="B21" s="36" t="s">
        <v>2603</v>
      </c>
      <c r="C21" s="106"/>
      <c r="D21" s="106"/>
      <c r="E21" s="106"/>
      <c r="F21" s="106"/>
      <c r="G21" s="106"/>
      <c r="H21" s="105"/>
      <c r="I21" s="106"/>
      <c r="J21" s="106"/>
      <c r="K21" s="28"/>
    </row>
    <row r="22" spans="1:11" x14ac:dyDescent="0.2">
      <c r="A22" s="210">
        <v>15</v>
      </c>
      <c r="B22" s="36" t="s">
        <v>2604</v>
      </c>
      <c r="C22" s="106"/>
      <c r="D22" s="106"/>
      <c r="E22" s="106"/>
      <c r="F22" s="106"/>
      <c r="G22" s="106"/>
      <c r="H22" s="105"/>
      <c r="I22" s="106"/>
      <c r="J22" s="106"/>
      <c r="K22" s="28"/>
    </row>
    <row r="23" spans="1:11" x14ac:dyDescent="0.2">
      <c r="A23" s="210">
        <v>16</v>
      </c>
      <c r="B23" s="36" t="s">
        <v>2605</v>
      </c>
      <c r="C23" s="106"/>
      <c r="D23" s="106"/>
      <c r="E23" s="106"/>
      <c r="F23" s="106"/>
      <c r="G23" s="106"/>
      <c r="H23" s="105"/>
      <c r="I23" s="106"/>
      <c r="J23" s="106"/>
      <c r="K23" s="28"/>
    </row>
    <row r="24" spans="1:11" x14ac:dyDescent="0.2">
      <c r="A24" s="210">
        <v>17</v>
      </c>
      <c r="B24" s="36" t="s">
        <v>2606</v>
      </c>
      <c r="C24" s="106"/>
      <c r="D24" s="106"/>
      <c r="E24" s="106"/>
      <c r="F24" s="106"/>
      <c r="G24" s="106"/>
      <c r="H24" s="105"/>
      <c r="I24" s="106"/>
      <c r="J24" s="106"/>
      <c r="K24" s="28"/>
    </row>
    <row r="25" spans="1:11" x14ac:dyDescent="0.2">
      <c r="A25" s="210">
        <v>18</v>
      </c>
      <c r="B25" s="36" t="s">
        <v>2607</v>
      </c>
      <c r="C25" s="106"/>
      <c r="D25" s="106"/>
      <c r="E25" s="106"/>
      <c r="F25" s="106"/>
      <c r="G25" s="106"/>
      <c r="H25" s="105"/>
      <c r="I25" s="106"/>
      <c r="J25" s="106"/>
      <c r="K25" s="28"/>
    </row>
    <row r="26" spans="1:11" x14ac:dyDescent="0.2">
      <c r="A26" s="211">
        <v>19</v>
      </c>
      <c r="B26" s="212" t="s">
        <v>2608</v>
      </c>
      <c r="C26" s="213"/>
      <c r="D26" s="213"/>
      <c r="E26" s="213"/>
      <c r="F26" s="213"/>
      <c r="G26" s="213"/>
      <c r="H26" s="214"/>
      <c r="I26" s="213"/>
      <c r="J26" s="213"/>
      <c r="K26" s="215"/>
    </row>
    <row r="27" spans="1:11" x14ac:dyDescent="0.2">
      <c r="A27" s="4"/>
      <c r="B27" s="4"/>
      <c r="C27" s="4"/>
      <c r="D27" s="4"/>
      <c r="E27" s="4"/>
      <c r="F27" s="4"/>
      <c r="G27" s="4"/>
      <c r="H27" s="4"/>
      <c r="I27" s="4"/>
      <c r="J27" s="4"/>
      <c r="K27" s="4"/>
    </row>
    <row r="28" spans="1:11" ht="20" customHeight="1" x14ac:dyDescent="0.2">
      <c r="A28" s="245" t="s">
        <v>2102</v>
      </c>
      <c r="B28" s="245"/>
      <c r="C28" s="245"/>
      <c r="D28" s="245"/>
      <c r="E28" s="245"/>
      <c r="F28" s="245"/>
      <c r="G28" s="245"/>
      <c r="H28" s="245"/>
      <c r="I28" s="245"/>
      <c r="J28" s="245"/>
      <c r="K28" s="245"/>
    </row>
    <row r="29" spans="1:11" x14ac:dyDescent="0.2">
      <c r="A29" s="246" t="s">
        <v>2103</v>
      </c>
      <c r="B29" s="246"/>
      <c r="C29" s="246"/>
      <c r="D29" s="246" t="s">
        <v>2104</v>
      </c>
      <c r="E29" s="246"/>
      <c r="F29" s="246"/>
      <c r="G29" s="246" t="s">
        <v>2105</v>
      </c>
      <c r="H29" s="246"/>
      <c r="I29" s="246"/>
      <c r="J29" s="246" t="s">
        <v>973</v>
      </c>
      <c r="K29" s="246"/>
    </row>
    <row r="30" spans="1:11" ht="26" customHeight="1" x14ac:dyDescent="0.2">
      <c r="A30" s="235"/>
      <c r="B30" s="236"/>
      <c r="C30" s="236"/>
      <c r="D30" s="236"/>
      <c r="E30" s="236"/>
      <c r="F30" s="236"/>
      <c r="G30" s="236"/>
      <c r="H30" s="236"/>
      <c r="I30" s="236"/>
      <c r="J30" s="237"/>
      <c r="K30"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0:C30"/>
    <mergeCell ref="D30:F30"/>
    <mergeCell ref="G30:I30"/>
    <mergeCell ref="J30:K30"/>
    <mergeCell ref="A5:B5"/>
    <mergeCell ref="C5:D5"/>
    <mergeCell ref="E5:F5"/>
    <mergeCell ref="G5:H5"/>
    <mergeCell ref="J5:K5"/>
    <mergeCell ref="A6:B6"/>
    <mergeCell ref="J6:K6"/>
    <mergeCell ref="A28:K28"/>
    <mergeCell ref="A29:C29"/>
    <mergeCell ref="D29:F29"/>
    <mergeCell ref="G29:I29"/>
    <mergeCell ref="J29:K29"/>
  </mergeCells>
  <conditionalFormatting sqref="C8:F26">
    <cfRule type="containsText" dxfId="17" priority="3" operator="containsText" text="No">
      <formula>NOT(ISERROR(SEARCH("No",C8)))</formula>
    </cfRule>
  </conditionalFormatting>
  <conditionalFormatting sqref="G8:G26">
    <cfRule type="containsText" dxfId="16" priority="1" operator="containsText" text="Pass">
      <formula>NOT(ISERROR(SEARCH("Pass",G8)))</formula>
    </cfRule>
    <cfRule type="containsText" dxfId="15" priority="2" operator="containsText" text="Fail">
      <formula>NOT(ISERROR(SEARCH("Fail",G8)))</formula>
    </cfRule>
  </conditionalFormatting>
  <dataValidations count="3">
    <dataValidation type="list" allowBlank="1" showInputMessage="1" showErrorMessage="1" sqref="C8:C26 D8:D26 E8:E26 F8:F26" xr:uid="{FCBE259A-E0AF-FA45-AAF9-77DEAB2204A3}">
      <formula1>"Yes,No,N/A"</formula1>
    </dataValidation>
    <dataValidation type="list" allowBlank="1" showInputMessage="1" showErrorMessage="1" sqref="G8:G26" xr:uid="{807FE84E-B00D-A948-8560-CBA45365B20B}">
      <formula1>"Pass,Fail,N/A"</formula1>
    </dataValidation>
    <dataValidation type="list" allowBlank="1" showInputMessage="1" showErrorMessage="1" sqref="G5" xr:uid="{E6B15840-605F-5349-A8D1-D570E2789317}">
      <formula1>"1 - Preparatory,2 - Work Readiness,3 - First Work Review,4 - Follow-Up"</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4BC3A-27CE-734B-8DE6-CA4346F1E0D0}">
  <dimension ref="A1:K36"/>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2609</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2610</v>
      </c>
      <c r="H3" s="239"/>
      <c r="I3" s="217" t="s">
        <v>225</v>
      </c>
      <c r="J3" s="239" t="s">
        <v>2305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2611</v>
      </c>
      <c r="B5" s="239"/>
      <c r="C5" s="240"/>
      <c r="D5" s="240"/>
      <c r="E5" s="240"/>
      <c r="F5" s="240"/>
      <c r="G5" s="240"/>
      <c r="H5" s="240"/>
      <c r="I5" s="216"/>
      <c r="J5" s="241"/>
      <c r="K5" s="240"/>
    </row>
    <row r="6" spans="1:11" ht="20" customHeight="1" x14ac:dyDescent="0.2">
      <c r="A6" s="242" t="s">
        <v>2073</v>
      </c>
      <c r="B6" s="242"/>
      <c r="C6" s="218" t="s">
        <v>2074</v>
      </c>
      <c r="D6" s="219">
        <f>COUNTA($B$8:$B$32)</f>
        <v>25</v>
      </c>
      <c r="E6" s="218" t="s">
        <v>188</v>
      </c>
      <c r="F6" s="219">
        <f>COUNTIF($G$8:$G$32,"Pass")</f>
        <v>0</v>
      </c>
      <c r="G6" s="218" t="s">
        <v>189</v>
      </c>
      <c r="H6" s="219">
        <f>COUNTIF($G$8:$G$32,"Fail")</f>
        <v>0</v>
      </c>
      <c r="I6" s="218" t="s">
        <v>132</v>
      </c>
      <c r="J6" s="243">
        <f>IF($D$6=0,0,($F$6+COUNTIF($G$8:$G$32,"N/A"))/$D$6)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2612</v>
      </c>
      <c r="C8" s="208"/>
      <c r="D8" s="208"/>
      <c r="E8" s="208"/>
      <c r="F8" s="208"/>
      <c r="G8" s="208"/>
      <c r="H8" s="209"/>
      <c r="I8" s="208"/>
      <c r="J8" s="208"/>
      <c r="K8" s="27"/>
    </row>
    <row r="9" spans="1:11" x14ac:dyDescent="0.2">
      <c r="A9" s="210">
        <v>2</v>
      </c>
      <c r="B9" s="36" t="s">
        <v>2613</v>
      </c>
      <c r="C9" s="106"/>
      <c r="D9" s="106"/>
      <c r="E9" s="106"/>
      <c r="F9" s="106"/>
      <c r="G9" s="106"/>
      <c r="H9" s="105"/>
      <c r="I9" s="106"/>
      <c r="J9" s="106"/>
      <c r="K9" s="28"/>
    </row>
    <row r="10" spans="1:11" x14ac:dyDescent="0.2">
      <c r="A10" s="210">
        <v>3</v>
      </c>
      <c r="B10" s="36" t="s">
        <v>2614</v>
      </c>
      <c r="C10" s="106"/>
      <c r="D10" s="106"/>
      <c r="E10" s="106"/>
      <c r="F10" s="106"/>
      <c r="G10" s="106"/>
      <c r="H10" s="105"/>
      <c r="I10" s="106"/>
      <c r="J10" s="106"/>
      <c r="K10" s="28"/>
    </row>
    <row r="11" spans="1:11" x14ac:dyDescent="0.2">
      <c r="A11" s="210">
        <v>4</v>
      </c>
      <c r="B11" s="36" t="s">
        <v>2615</v>
      </c>
      <c r="C11" s="106"/>
      <c r="D11" s="106"/>
      <c r="E11" s="106"/>
      <c r="F11" s="106"/>
      <c r="G11" s="106"/>
      <c r="H11" s="105"/>
      <c r="I11" s="106"/>
      <c r="J11" s="106"/>
      <c r="K11" s="28"/>
    </row>
    <row r="12" spans="1:11" x14ac:dyDescent="0.2">
      <c r="A12" s="210">
        <v>5</v>
      </c>
      <c r="B12" s="36" t="s">
        <v>2616</v>
      </c>
      <c r="C12" s="106"/>
      <c r="D12" s="106"/>
      <c r="E12" s="106"/>
      <c r="F12" s="106"/>
      <c r="G12" s="106"/>
      <c r="H12" s="105"/>
      <c r="I12" s="106"/>
      <c r="J12" s="106"/>
      <c r="K12" s="28"/>
    </row>
    <row r="13" spans="1:11" x14ac:dyDescent="0.2">
      <c r="A13" s="210">
        <v>6</v>
      </c>
      <c r="B13" s="36" t="s">
        <v>2617</v>
      </c>
      <c r="C13" s="106"/>
      <c r="D13" s="106"/>
      <c r="E13" s="106"/>
      <c r="F13" s="106"/>
      <c r="G13" s="106"/>
      <c r="H13" s="105"/>
      <c r="I13" s="106"/>
      <c r="J13" s="106"/>
      <c r="K13" s="28"/>
    </row>
    <row r="14" spans="1:11" x14ac:dyDescent="0.2">
      <c r="A14" s="210">
        <v>7</v>
      </c>
      <c r="B14" s="36" t="s">
        <v>2618</v>
      </c>
      <c r="C14" s="106"/>
      <c r="D14" s="106"/>
      <c r="E14" s="106"/>
      <c r="F14" s="106"/>
      <c r="G14" s="106"/>
      <c r="H14" s="105"/>
      <c r="I14" s="106"/>
      <c r="J14" s="106"/>
      <c r="K14" s="28"/>
    </row>
    <row r="15" spans="1:11" x14ac:dyDescent="0.2">
      <c r="A15" s="210">
        <v>8</v>
      </c>
      <c r="B15" s="36" t="s">
        <v>2619</v>
      </c>
      <c r="C15" s="106"/>
      <c r="D15" s="106"/>
      <c r="E15" s="106"/>
      <c r="F15" s="106"/>
      <c r="G15" s="106"/>
      <c r="H15" s="105"/>
      <c r="I15" s="106"/>
      <c r="J15" s="106"/>
      <c r="K15" s="28"/>
    </row>
    <row r="16" spans="1:11" x14ac:dyDescent="0.2">
      <c r="A16" s="210">
        <v>9</v>
      </c>
      <c r="B16" s="36" t="s">
        <v>2620</v>
      </c>
      <c r="C16" s="106"/>
      <c r="D16" s="106"/>
      <c r="E16" s="106"/>
      <c r="F16" s="106"/>
      <c r="G16" s="106"/>
      <c r="H16" s="105"/>
      <c r="I16" s="106"/>
      <c r="J16" s="106"/>
      <c r="K16" s="28"/>
    </row>
    <row r="17" spans="1:11" x14ac:dyDescent="0.2">
      <c r="A17" s="210">
        <v>10</v>
      </c>
      <c r="B17" s="36" t="s">
        <v>2621</v>
      </c>
      <c r="C17" s="106"/>
      <c r="D17" s="106"/>
      <c r="E17" s="106"/>
      <c r="F17" s="106"/>
      <c r="G17" s="106"/>
      <c r="H17" s="105"/>
      <c r="I17" s="106"/>
      <c r="J17" s="106"/>
      <c r="K17" s="28"/>
    </row>
    <row r="18" spans="1:11" x14ac:dyDescent="0.2">
      <c r="A18" s="210">
        <v>11</v>
      </c>
      <c r="B18" s="36" t="s">
        <v>2622</v>
      </c>
      <c r="C18" s="106"/>
      <c r="D18" s="106"/>
      <c r="E18" s="106"/>
      <c r="F18" s="106"/>
      <c r="G18" s="106"/>
      <c r="H18" s="105"/>
      <c r="I18" s="106"/>
      <c r="J18" s="106"/>
      <c r="K18" s="28"/>
    </row>
    <row r="19" spans="1:11" x14ac:dyDescent="0.2">
      <c r="A19" s="210">
        <v>12</v>
      </c>
      <c r="B19" s="36" t="s">
        <v>2623</v>
      </c>
      <c r="C19" s="106"/>
      <c r="D19" s="106"/>
      <c r="E19" s="106"/>
      <c r="F19" s="106"/>
      <c r="G19" s="106"/>
      <c r="H19" s="105"/>
      <c r="I19" s="106"/>
      <c r="J19" s="106"/>
      <c r="K19" s="28"/>
    </row>
    <row r="20" spans="1:11" x14ac:dyDescent="0.2">
      <c r="A20" s="210">
        <v>13</v>
      </c>
      <c r="B20" s="36" t="s">
        <v>2624</v>
      </c>
      <c r="C20" s="106"/>
      <c r="D20" s="106"/>
      <c r="E20" s="106"/>
      <c r="F20" s="106"/>
      <c r="G20" s="106"/>
      <c r="H20" s="105"/>
      <c r="I20" s="106"/>
      <c r="J20" s="106"/>
      <c r="K20" s="28"/>
    </row>
    <row r="21" spans="1:11" x14ac:dyDescent="0.2">
      <c r="A21" s="210">
        <v>14</v>
      </c>
      <c r="B21" s="36" t="s">
        <v>2625</v>
      </c>
      <c r="C21" s="106"/>
      <c r="D21" s="106"/>
      <c r="E21" s="106"/>
      <c r="F21" s="106"/>
      <c r="G21" s="106"/>
      <c r="H21" s="105"/>
      <c r="I21" s="106"/>
      <c r="J21" s="106"/>
      <c r="K21" s="28"/>
    </row>
    <row r="22" spans="1:11" x14ac:dyDescent="0.2">
      <c r="A22" s="210">
        <v>15</v>
      </c>
      <c r="B22" s="36" t="s">
        <v>2626</v>
      </c>
      <c r="C22" s="106"/>
      <c r="D22" s="106"/>
      <c r="E22" s="106"/>
      <c r="F22" s="106"/>
      <c r="G22" s="106"/>
      <c r="H22" s="105"/>
      <c r="I22" s="106"/>
      <c r="J22" s="106"/>
      <c r="K22" s="28"/>
    </row>
    <row r="23" spans="1:11" x14ac:dyDescent="0.2">
      <c r="A23" s="210">
        <v>16</v>
      </c>
      <c r="B23" s="36" t="s">
        <v>2627</v>
      </c>
      <c r="C23" s="106"/>
      <c r="D23" s="106"/>
      <c r="E23" s="106"/>
      <c r="F23" s="106"/>
      <c r="G23" s="106"/>
      <c r="H23" s="105"/>
      <c r="I23" s="106"/>
      <c r="J23" s="106"/>
      <c r="K23" s="28"/>
    </row>
    <row r="24" spans="1:11" x14ac:dyDescent="0.2">
      <c r="A24" s="210">
        <v>17</v>
      </c>
      <c r="B24" s="36" t="s">
        <v>2628</v>
      </c>
      <c r="C24" s="106"/>
      <c r="D24" s="106"/>
      <c r="E24" s="106"/>
      <c r="F24" s="106"/>
      <c r="G24" s="106"/>
      <c r="H24" s="105"/>
      <c r="I24" s="106"/>
      <c r="J24" s="106"/>
      <c r="K24" s="28"/>
    </row>
    <row r="25" spans="1:11" x14ac:dyDescent="0.2">
      <c r="A25" s="210">
        <v>18</v>
      </c>
      <c r="B25" s="36" t="s">
        <v>2629</v>
      </c>
      <c r="C25" s="106"/>
      <c r="D25" s="106"/>
      <c r="E25" s="106"/>
      <c r="F25" s="106"/>
      <c r="G25" s="106"/>
      <c r="H25" s="105"/>
      <c r="I25" s="106"/>
      <c r="J25" s="106"/>
      <c r="K25" s="28"/>
    </row>
    <row r="26" spans="1:11" x14ac:dyDescent="0.2">
      <c r="A26" s="210">
        <v>19</v>
      </c>
      <c r="B26" s="36" t="s">
        <v>2630</v>
      </c>
      <c r="C26" s="106"/>
      <c r="D26" s="106"/>
      <c r="E26" s="106"/>
      <c r="F26" s="106"/>
      <c r="G26" s="106"/>
      <c r="H26" s="105"/>
      <c r="I26" s="106"/>
      <c r="J26" s="106"/>
      <c r="K26" s="28"/>
    </row>
    <row r="27" spans="1:11" x14ac:dyDescent="0.2">
      <c r="A27" s="210">
        <v>20</v>
      </c>
      <c r="B27" s="36" t="s">
        <v>2631</v>
      </c>
      <c r="C27" s="106"/>
      <c r="D27" s="106"/>
      <c r="E27" s="106"/>
      <c r="F27" s="106"/>
      <c r="G27" s="106"/>
      <c r="H27" s="105"/>
      <c r="I27" s="106"/>
      <c r="J27" s="106"/>
      <c r="K27" s="28"/>
    </row>
    <row r="28" spans="1:11" x14ac:dyDescent="0.2">
      <c r="A28" s="210">
        <v>21</v>
      </c>
      <c r="B28" s="36" t="s">
        <v>2632</v>
      </c>
      <c r="C28" s="106"/>
      <c r="D28" s="106"/>
      <c r="E28" s="106"/>
      <c r="F28" s="106"/>
      <c r="G28" s="106"/>
      <c r="H28" s="105"/>
      <c r="I28" s="106"/>
      <c r="J28" s="106"/>
      <c r="K28" s="28"/>
    </row>
    <row r="29" spans="1:11" x14ac:dyDescent="0.2">
      <c r="A29" s="210">
        <v>22</v>
      </c>
      <c r="B29" s="36" t="s">
        <v>2633</v>
      </c>
      <c r="C29" s="106"/>
      <c r="D29" s="106"/>
      <c r="E29" s="106"/>
      <c r="F29" s="106"/>
      <c r="G29" s="106"/>
      <c r="H29" s="105"/>
      <c r="I29" s="106"/>
      <c r="J29" s="106"/>
      <c r="K29" s="28"/>
    </row>
    <row r="30" spans="1:11" x14ac:dyDescent="0.2">
      <c r="A30" s="210">
        <v>23</v>
      </c>
      <c r="B30" s="36" t="s">
        <v>2634</v>
      </c>
      <c r="C30" s="106"/>
      <c r="D30" s="106"/>
      <c r="E30" s="106"/>
      <c r="F30" s="106"/>
      <c r="G30" s="106"/>
      <c r="H30" s="105"/>
      <c r="I30" s="106"/>
      <c r="J30" s="106"/>
      <c r="K30" s="28"/>
    </row>
    <row r="31" spans="1:11" x14ac:dyDescent="0.2">
      <c r="A31" s="210">
        <v>24</v>
      </c>
      <c r="B31" s="36" t="s">
        <v>787</v>
      </c>
      <c r="C31" s="106"/>
      <c r="D31" s="106"/>
      <c r="E31" s="106"/>
      <c r="F31" s="106"/>
      <c r="G31" s="106"/>
      <c r="H31" s="105"/>
      <c r="I31" s="106"/>
      <c r="J31" s="106"/>
      <c r="K31" s="28"/>
    </row>
    <row r="32" spans="1:11" x14ac:dyDescent="0.2">
      <c r="A32" s="211">
        <v>25</v>
      </c>
      <c r="B32" s="212" t="s">
        <v>2635</v>
      </c>
      <c r="C32" s="213"/>
      <c r="D32" s="213"/>
      <c r="E32" s="213"/>
      <c r="F32" s="213"/>
      <c r="G32" s="213"/>
      <c r="H32" s="214"/>
      <c r="I32" s="213"/>
      <c r="J32" s="213"/>
      <c r="K32" s="215"/>
    </row>
    <row r="33" spans="1:11" x14ac:dyDescent="0.2">
      <c r="A33" s="4"/>
      <c r="B33" s="4"/>
      <c r="C33" s="4"/>
      <c r="D33" s="4"/>
      <c r="E33" s="4"/>
      <c r="F33" s="4"/>
      <c r="G33" s="4"/>
      <c r="H33" s="4"/>
      <c r="I33" s="4"/>
      <c r="J33" s="4"/>
      <c r="K33" s="4"/>
    </row>
    <row r="34" spans="1:11" ht="20" customHeight="1" x14ac:dyDescent="0.2">
      <c r="A34" s="245" t="s">
        <v>2102</v>
      </c>
      <c r="B34" s="245"/>
      <c r="C34" s="245"/>
      <c r="D34" s="245"/>
      <c r="E34" s="245"/>
      <c r="F34" s="245"/>
      <c r="G34" s="245"/>
      <c r="H34" s="245"/>
      <c r="I34" s="245"/>
      <c r="J34" s="245"/>
      <c r="K34" s="245"/>
    </row>
    <row r="35" spans="1:11" x14ac:dyDescent="0.2">
      <c r="A35" s="246" t="s">
        <v>2103</v>
      </c>
      <c r="B35" s="246"/>
      <c r="C35" s="246"/>
      <c r="D35" s="246" t="s">
        <v>2104</v>
      </c>
      <c r="E35" s="246"/>
      <c r="F35" s="246"/>
      <c r="G35" s="246" t="s">
        <v>2105</v>
      </c>
      <c r="H35" s="246"/>
      <c r="I35" s="246"/>
      <c r="J35" s="246" t="s">
        <v>973</v>
      </c>
      <c r="K35" s="246"/>
    </row>
    <row r="36" spans="1:11" ht="26" customHeight="1" x14ac:dyDescent="0.2">
      <c r="A36" s="235"/>
      <c r="B36" s="236"/>
      <c r="C36" s="236"/>
      <c r="D36" s="236"/>
      <c r="E36" s="236"/>
      <c r="F36" s="236"/>
      <c r="G36" s="236"/>
      <c r="H36" s="236"/>
      <c r="I36" s="236"/>
      <c r="J36" s="237"/>
      <c r="K36"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6:C36"/>
    <mergeCell ref="D36:F36"/>
    <mergeCell ref="G36:I36"/>
    <mergeCell ref="J36:K36"/>
    <mergeCell ref="A5:B5"/>
    <mergeCell ref="C5:D5"/>
    <mergeCell ref="E5:F5"/>
    <mergeCell ref="G5:H5"/>
    <mergeCell ref="J5:K5"/>
    <mergeCell ref="A6:B6"/>
    <mergeCell ref="J6:K6"/>
    <mergeCell ref="A34:K34"/>
    <mergeCell ref="A35:C35"/>
    <mergeCell ref="D35:F35"/>
    <mergeCell ref="G35:I35"/>
    <mergeCell ref="J35:K35"/>
  </mergeCells>
  <conditionalFormatting sqref="C8:F32">
    <cfRule type="containsText" dxfId="14" priority="3" operator="containsText" text="No">
      <formula>NOT(ISERROR(SEARCH("No",C8)))</formula>
    </cfRule>
  </conditionalFormatting>
  <conditionalFormatting sqref="G8:G32">
    <cfRule type="containsText" dxfId="13" priority="1" operator="containsText" text="Pass">
      <formula>NOT(ISERROR(SEARCH("Pass",G8)))</formula>
    </cfRule>
    <cfRule type="containsText" dxfId="12" priority="2" operator="containsText" text="Fail">
      <formula>NOT(ISERROR(SEARCH("Fail",G8)))</formula>
    </cfRule>
  </conditionalFormatting>
  <dataValidations count="3">
    <dataValidation type="list" allowBlank="1" showInputMessage="1" showErrorMessage="1" sqref="C8:C32 D8:D32 E8:E32 F8:F32" xr:uid="{5D1E4044-4FD4-644C-9AAC-732EFDD12B7F}">
      <formula1>"Yes,No,N/A"</formula1>
    </dataValidation>
    <dataValidation type="list" allowBlank="1" showInputMessage="1" showErrorMessage="1" sqref="G8:G32" xr:uid="{992E6176-BBBB-BB4B-8276-629559867A77}">
      <formula1>"Pass,Fail,N/A"</formula1>
    </dataValidation>
    <dataValidation type="list" allowBlank="1" showInputMessage="1" showErrorMessage="1" sqref="G5" xr:uid="{975F219B-FD25-DD41-B293-7128D13ACE41}">
      <formula1>"1 - Preparatory,2 - Work Readiness,3 - First Work Review,4 - Follow-Up"</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446D6-1CF3-D548-AA5A-79BD1C844E7A}">
  <dimension ref="A1:K37"/>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2636</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2637</v>
      </c>
      <c r="H3" s="239"/>
      <c r="I3" s="217" t="s">
        <v>227</v>
      </c>
      <c r="J3" s="239" t="s">
        <v>2305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314</v>
      </c>
      <c r="B5" s="239"/>
      <c r="C5" s="240"/>
      <c r="D5" s="240"/>
      <c r="E5" s="240"/>
      <c r="F5" s="240"/>
      <c r="G5" s="240"/>
      <c r="H5" s="240"/>
      <c r="I5" s="216"/>
      <c r="J5" s="241"/>
      <c r="K5" s="240"/>
    </row>
    <row r="6" spans="1:11" ht="20" customHeight="1" x14ac:dyDescent="0.2">
      <c r="A6" s="242" t="s">
        <v>2073</v>
      </c>
      <c r="B6" s="242"/>
      <c r="C6" s="218" t="s">
        <v>2074</v>
      </c>
      <c r="D6" s="219">
        <f>COUNTA($B$8:$B$33)</f>
        <v>26</v>
      </c>
      <c r="E6" s="218" t="s">
        <v>188</v>
      </c>
      <c r="F6" s="219">
        <f>COUNTIF($G$8:$G$33,"Pass")</f>
        <v>0</v>
      </c>
      <c r="G6" s="218" t="s">
        <v>189</v>
      </c>
      <c r="H6" s="219">
        <f>COUNTIF($G$8:$G$33,"Fail")</f>
        <v>0</v>
      </c>
      <c r="I6" s="218" t="s">
        <v>132</v>
      </c>
      <c r="J6" s="243">
        <f>IF($D$6=0,0,($F$6+COUNTIF($G$8:$G$33,"N/A"))/$D$6)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2638</v>
      </c>
      <c r="C8" s="208"/>
      <c r="D8" s="208"/>
      <c r="E8" s="208"/>
      <c r="F8" s="208"/>
      <c r="G8" s="208"/>
      <c r="H8" s="209"/>
      <c r="I8" s="208"/>
      <c r="J8" s="208"/>
      <c r="K8" s="27"/>
    </row>
    <row r="9" spans="1:11" x14ac:dyDescent="0.2">
      <c r="A9" s="210">
        <v>2</v>
      </c>
      <c r="B9" s="36" t="s">
        <v>2639</v>
      </c>
      <c r="C9" s="106"/>
      <c r="D9" s="106"/>
      <c r="E9" s="106"/>
      <c r="F9" s="106"/>
      <c r="G9" s="106"/>
      <c r="H9" s="105"/>
      <c r="I9" s="106"/>
      <c r="J9" s="106"/>
      <c r="K9" s="28"/>
    </row>
    <row r="10" spans="1:11" x14ac:dyDescent="0.2">
      <c r="A10" s="210">
        <v>3</v>
      </c>
      <c r="B10" s="36" t="s">
        <v>2640</v>
      </c>
      <c r="C10" s="106"/>
      <c r="D10" s="106"/>
      <c r="E10" s="106"/>
      <c r="F10" s="106"/>
      <c r="G10" s="106"/>
      <c r="H10" s="105"/>
      <c r="I10" s="106"/>
      <c r="J10" s="106"/>
      <c r="K10" s="28"/>
    </row>
    <row r="11" spans="1:11" x14ac:dyDescent="0.2">
      <c r="A11" s="210">
        <v>4</v>
      </c>
      <c r="B11" s="36" t="s">
        <v>2641</v>
      </c>
      <c r="C11" s="106"/>
      <c r="D11" s="106"/>
      <c r="E11" s="106"/>
      <c r="F11" s="106"/>
      <c r="G11" s="106"/>
      <c r="H11" s="105"/>
      <c r="I11" s="106"/>
      <c r="J11" s="106"/>
      <c r="K11" s="28"/>
    </row>
    <row r="12" spans="1:11" x14ac:dyDescent="0.2">
      <c r="A12" s="210">
        <v>5</v>
      </c>
      <c r="B12" s="36" t="s">
        <v>2642</v>
      </c>
      <c r="C12" s="106"/>
      <c r="D12" s="106"/>
      <c r="E12" s="106"/>
      <c r="F12" s="106"/>
      <c r="G12" s="106"/>
      <c r="H12" s="105"/>
      <c r="I12" s="106"/>
      <c r="J12" s="106"/>
      <c r="K12" s="28"/>
    </row>
    <row r="13" spans="1:11" x14ac:dyDescent="0.2">
      <c r="A13" s="210">
        <v>6</v>
      </c>
      <c r="B13" s="36" t="s">
        <v>2643</v>
      </c>
      <c r="C13" s="106"/>
      <c r="D13" s="106"/>
      <c r="E13" s="106"/>
      <c r="F13" s="106"/>
      <c r="G13" s="106"/>
      <c r="H13" s="105"/>
      <c r="I13" s="106"/>
      <c r="J13" s="106"/>
      <c r="K13" s="28"/>
    </row>
    <row r="14" spans="1:11" x14ac:dyDescent="0.2">
      <c r="A14" s="210">
        <v>7</v>
      </c>
      <c r="B14" s="36" t="s">
        <v>2644</v>
      </c>
      <c r="C14" s="106"/>
      <c r="D14" s="106"/>
      <c r="E14" s="106"/>
      <c r="F14" s="106"/>
      <c r="G14" s="106"/>
      <c r="H14" s="105"/>
      <c r="I14" s="106"/>
      <c r="J14" s="106"/>
      <c r="K14" s="28"/>
    </row>
    <row r="15" spans="1:11" x14ac:dyDescent="0.2">
      <c r="A15" s="210">
        <v>8</v>
      </c>
      <c r="B15" s="36" t="s">
        <v>2645</v>
      </c>
      <c r="C15" s="106"/>
      <c r="D15" s="106"/>
      <c r="E15" s="106"/>
      <c r="F15" s="106"/>
      <c r="G15" s="106"/>
      <c r="H15" s="105"/>
      <c r="I15" s="106"/>
      <c r="J15" s="106"/>
      <c r="K15" s="28"/>
    </row>
    <row r="16" spans="1:11" x14ac:dyDescent="0.2">
      <c r="A16" s="210">
        <v>9</v>
      </c>
      <c r="B16" s="36" t="s">
        <v>2646</v>
      </c>
      <c r="C16" s="106"/>
      <c r="D16" s="106"/>
      <c r="E16" s="106"/>
      <c r="F16" s="106"/>
      <c r="G16" s="106"/>
      <c r="H16" s="105"/>
      <c r="I16" s="106"/>
      <c r="J16" s="106"/>
      <c r="K16" s="28"/>
    </row>
    <row r="17" spans="1:11" x14ac:dyDescent="0.2">
      <c r="A17" s="210">
        <v>10</v>
      </c>
      <c r="B17" s="36" t="s">
        <v>2647</v>
      </c>
      <c r="C17" s="106"/>
      <c r="D17" s="106"/>
      <c r="E17" s="106"/>
      <c r="F17" s="106"/>
      <c r="G17" s="106"/>
      <c r="H17" s="105"/>
      <c r="I17" s="106"/>
      <c r="J17" s="106"/>
      <c r="K17" s="28"/>
    </row>
    <row r="18" spans="1:11" x14ac:dyDescent="0.2">
      <c r="A18" s="210">
        <v>11</v>
      </c>
      <c r="B18" s="36" t="s">
        <v>2648</v>
      </c>
      <c r="C18" s="106"/>
      <c r="D18" s="106"/>
      <c r="E18" s="106"/>
      <c r="F18" s="106"/>
      <c r="G18" s="106"/>
      <c r="H18" s="105"/>
      <c r="I18" s="106"/>
      <c r="J18" s="106"/>
      <c r="K18" s="28"/>
    </row>
    <row r="19" spans="1:11" x14ac:dyDescent="0.2">
      <c r="A19" s="210">
        <v>12</v>
      </c>
      <c r="B19" s="36" t="s">
        <v>2649</v>
      </c>
      <c r="C19" s="106"/>
      <c r="D19" s="106"/>
      <c r="E19" s="106"/>
      <c r="F19" s="106"/>
      <c r="G19" s="106"/>
      <c r="H19" s="105"/>
      <c r="I19" s="106"/>
      <c r="J19" s="106"/>
      <c r="K19" s="28"/>
    </row>
    <row r="20" spans="1:11" x14ac:dyDescent="0.2">
      <c r="A20" s="210">
        <v>13</v>
      </c>
      <c r="B20" s="36" t="s">
        <v>2650</v>
      </c>
      <c r="C20" s="106"/>
      <c r="D20" s="106"/>
      <c r="E20" s="106"/>
      <c r="F20" s="106"/>
      <c r="G20" s="106"/>
      <c r="H20" s="105"/>
      <c r="I20" s="106"/>
      <c r="J20" s="106"/>
      <c r="K20" s="28"/>
    </row>
    <row r="21" spans="1:11" x14ac:dyDescent="0.2">
      <c r="A21" s="210">
        <v>14</v>
      </c>
      <c r="B21" s="36" t="s">
        <v>2651</v>
      </c>
      <c r="C21" s="106"/>
      <c r="D21" s="106"/>
      <c r="E21" s="106"/>
      <c r="F21" s="106"/>
      <c r="G21" s="106"/>
      <c r="H21" s="105"/>
      <c r="I21" s="106"/>
      <c r="J21" s="106"/>
      <c r="K21" s="28"/>
    </row>
    <row r="22" spans="1:11" x14ac:dyDescent="0.2">
      <c r="A22" s="210">
        <v>15</v>
      </c>
      <c r="B22" s="36" t="s">
        <v>2652</v>
      </c>
      <c r="C22" s="106"/>
      <c r="D22" s="106"/>
      <c r="E22" s="106"/>
      <c r="F22" s="106"/>
      <c r="G22" s="106"/>
      <c r="H22" s="105"/>
      <c r="I22" s="106"/>
      <c r="J22" s="106"/>
      <c r="K22" s="28"/>
    </row>
    <row r="23" spans="1:11" x14ac:dyDescent="0.2">
      <c r="A23" s="210">
        <v>16</v>
      </c>
      <c r="B23" s="36" t="s">
        <v>2653</v>
      </c>
      <c r="C23" s="106"/>
      <c r="D23" s="106"/>
      <c r="E23" s="106"/>
      <c r="F23" s="106"/>
      <c r="G23" s="106"/>
      <c r="H23" s="105"/>
      <c r="I23" s="106"/>
      <c r="J23" s="106"/>
      <c r="K23" s="28"/>
    </row>
    <row r="24" spans="1:11" x14ac:dyDescent="0.2">
      <c r="A24" s="210">
        <v>17</v>
      </c>
      <c r="B24" s="36" t="s">
        <v>2654</v>
      </c>
      <c r="C24" s="106"/>
      <c r="D24" s="106"/>
      <c r="E24" s="106"/>
      <c r="F24" s="106"/>
      <c r="G24" s="106"/>
      <c r="H24" s="105"/>
      <c r="I24" s="106"/>
      <c r="J24" s="106"/>
      <c r="K24" s="28"/>
    </row>
    <row r="25" spans="1:11" x14ac:dyDescent="0.2">
      <c r="A25" s="210">
        <v>18</v>
      </c>
      <c r="B25" s="36" t="s">
        <v>2655</v>
      </c>
      <c r="C25" s="106"/>
      <c r="D25" s="106"/>
      <c r="E25" s="106"/>
      <c r="F25" s="106"/>
      <c r="G25" s="106"/>
      <c r="H25" s="105"/>
      <c r="I25" s="106"/>
      <c r="J25" s="106"/>
      <c r="K25" s="28"/>
    </row>
    <row r="26" spans="1:11" x14ac:dyDescent="0.2">
      <c r="A26" s="210">
        <v>19</v>
      </c>
      <c r="B26" s="36" t="s">
        <v>2656</v>
      </c>
      <c r="C26" s="106"/>
      <c r="D26" s="106"/>
      <c r="E26" s="106"/>
      <c r="F26" s="106"/>
      <c r="G26" s="106"/>
      <c r="H26" s="105"/>
      <c r="I26" s="106"/>
      <c r="J26" s="106"/>
      <c r="K26" s="28"/>
    </row>
    <row r="27" spans="1:11" x14ac:dyDescent="0.2">
      <c r="A27" s="210">
        <v>20</v>
      </c>
      <c r="B27" s="36" t="s">
        <v>2657</v>
      </c>
      <c r="C27" s="106"/>
      <c r="D27" s="106"/>
      <c r="E27" s="106"/>
      <c r="F27" s="106"/>
      <c r="G27" s="106"/>
      <c r="H27" s="105"/>
      <c r="I27" s="106"/>
      <c r="J27" s="106"/>
      <c r="K27" s="28"/>
    </row>
    <row r="28" spans="1:11" x14ac:dyDescent="0.2">
      <c r="A28" s="210">
        <v>21</v>
      </c>
      <c r="B28" s="36" t="s">
        <v>2658</v>
      </c>
      <c r="C28" s="106"/>
      <c r="D28" s="106"/>
      <c r="E28" s="106"/>
      <c r="F28" s="106"/>
      <c r="G28" s="106"/>
      <c r="H28" s="105"/>
      <c r="I28" s="106"/>
      <c r="J28" s="106"/>
      <c r="K28" s="28"/>
    </row>
    <row r="29" spans="1:11" x14ac:dyDescent="0.2">
      <c r="A29" s="210">
        <v>22</v>
      </c>
      <c r="B29" s="36" t="s">
        <v>2659</v>
      </c>
      <c r="C29" s="106"/>
      <c r="D29" s="106"/>
      <c r="E29" s="106"/>
      <c r="F29" s="106"/>
      <c r="G29" s="106"/>
      <c r="H29" s="105"/>
      <c r="I29" s="106"/>
      <c r="J29" s="106"/>
      <c r="K29" s="28"/>
    </row>
    <row r="30" spans="1:11" x14ac:dyDescent="0.2">
      <c r="A30" s="210">
        <v>23</v>
      </c>
      <c r="B30" s="36" t="s">
        <v>2660</v>
      </c>
      <c r="C30" s="106"/>
      <c r="D30" s="106"/>
      <c r="E30" s="106"/>
      <c r="F30" s="106"/>
      <c r="G30" s="106"/>
      <c r="H30" s="105"/>
      <c r="I30" s="106"/>
      <c r="J30" s="106"/>
      <c r="K30" s="28"/>
    </row>
    <row r="31" spans="1:11" x14ac:dyDescent="0.2">
      <c r="A31" s="210">
        <v>24</v>
      </c>
      <c r="B31" s="36" t="s">
        <v>2661</v>
      </c>
      <c r="C31" s="106"/>
      <c r="D31" s="106"/>
      <c r="E31" s="106"/>
      <c r="F31" s="106"/>
      <c r="G31" s="106"/>
      <c r="H31" s="105"/>
      <c r="I31" s="106"/>
      <c r="J31" s="106"/>
      <c r="K31" s="28"/>
    </row>
    <row r="32" spans="1:11" x14ac:dyDescent="0.2">
      <c r="A32" s="210">
        <v>25</v>
      </c>
      <c r="B32" s="36" t="s">
        <v>2662</v>
      </c>
      <c r="C32" s="106"/>
      <c r="D32" s="106"/>
      <c r="E32" s="106"/>
      <c r="F32" s="106"/>
      <c r="G32" s="106"/>
      <c r="H32" s="105"/>
      <c r="I32" s="106"/>
      <c r="J32" s="106"/>
      <c r="K32" s="28"/>
    </row>
    <row r="33" spans="1:11" x14ac:dyDescent="0.2">
      <c r="A33" s="211">
        <v>26</v>
      </c>
      <c r="B33" s="212" t="s">
        <v>2663</v>
      </c>
      <c r="C33" s="213"/>
      <c r="D33" s="213"/>
      <c r="E33" s="213"/>
      <c r="F33" s="213"/>
      <c r="G33" s="213"/>
      <c r="H33" s="214"/>
      <c r="I33" s="213"/>
      <c r="J33" s="213"/>
      <c r="K33" s="215"/>
    </row>
    <row r="34" spans="1:11" x14ac:dyDescent="0.2">
      <c r="A34" s="4"/>
      <c r="B34" s="4"/>
      <c r="C34" s="4"/>
      <c r="D34" s="4"/>
      <c r="E34" s="4"/>
      <c r="F34" s="4"/>
      <c r="G34" s="4"/>
      <c r="H34" s="4"/>
      <c r="I34" s="4"/>
      <c r="J34" s="4"/>
      <c r="K34" s="4"/>
    </row>
    <row r="35" spans="1:11" ht="20" customHeight="1" x14ac:dyDescent="0.2">
      <c r="A35" s="245" t="s">
        <v>2102</v>
      </c>
      <c r="B35" s="245"/>
      <c r="C35" s="245"/>
      <c r="D35" s="245"/>
      <c r="E35" s="245"/>
      <c r="F35" s="245"/>
      <c r="G35" s="245"/>
      <c r="H35" s="245"/>
      <c r="I35" s="245"/>
      <c r="J35" s="245"/>
      <c r="K35" s="245"/>
    </row>
    <row r="36" spans="1:11" x14ac:dyDescent="0.2">
      <c r="A36" s="246" t="s">
        <v>2103</v>
      </c>
      <c r="B36" s="246"/>
      <c r="C36" s="246"/>
      <c r="D36" s="246" t="s">
        <v>2104</v>
      </c>
      <c r="E36" s="246"/>
      <c r="F36" s="246"/>
      <c r="G36" s="246" t="s">
        <v>2105</v>
      </c>
      <c r="H36" s="246"/>
      <c r="I36" s="246"/>
      <c r="J36" s="246" t="s">
        <v>973</v>
      </c>
      <c r="K36" s="246"/>
    </row>
    <row r="37" spans="1:11" ht="26" customHeight="1" x14ac:dyDescent="0.2">
      <c r="A37" s="235"/>
      <c r="B37" s="236"/>
      <c r="C37" s="236"/>
      <c r="D37" s="236"/>
      <c r="E37" s="236"/>
      <c r="F37" s="236"/>
      <c r="G37" s="236"/>
      <c r="H37" s="236"/>
      <c r="I37" s="236"/>
      <c r="J37" s="237"/>
      <c r="K37"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7:C37"/>
    <mergeCell ref="D37:F37"/>
    <mergeCell ref="G37:I37"/>
    <mergeCell ref="J37:K37"/>
    <mergeCell ref="A5:B5"/>
    <mergeCell ref="C5:D5"/>
    <mergeCell ref="E5:F5"/>
    <mergeCell ref="G5:H5"/>
    <mergeCell ref="J5:K5"/>
    <mergeCell ref="A6:B6"/>
    <mergeCell ref="J6:K6"/>
    <mergeCell ref="A35:K35"/>
    <mergeCell ref="A36:C36"/>
    <mergeCell ref="D36:F36"/>
    <mergeCell ref="G36:I36"/>
    <mergeCell ref="J36:K36"/>
  </mergeCells>
  <conditionalFormatting sqref="C8:F33">
    <cfRule type="containsText" dxfId="11" priority="3" operator="containsText" text="No">
      <formula>NOT(ISERROR(SEARCH("No",C8)))</formula>
    </cfRule>
  </conditionalFormatting>
  <conditionalFormatting sqref="G8:G33">
    <cfRule type="containsText" dxfId="10" priority="1" operator="containsText" text="Pass">
      <formula>NOT(ISERROR(SEARCH("Pass",G8)))</formula>
    </cfRule>
    <cfRule type="containsText" dxfId="9" priority="2" operator="containsText" text="Fail">
      <formula>NOT(ISERROR(SEARCH("Fail",G8)))</formula>
    </cfRule>
  </conditionalFormatting>
  <dataValidations count="3">
    <dataValidation type="list" allowBlank="1" showInputMessage="1" showErrorMessage="1" sqref="C8:C33 D8:D33 E8:E33 F8:F33" xr:uid="{F323FE38-B4D1-7448-88F8-33215F5AA07E}">
      <formula1>"Yes,No,N/A"</formula1>
    </dataValidation>
    <dataValidation type="list" allowBlank="1" showInputMessage="1" showErrorMessage="1" sqref="G8:G33" xr:uid="{410FEBDD-F4A4-B546-BCEB-20AF381D7D65}">
      <formula1>"Pass,Fail,N/A"</formula1>
    </dataValidation>
    <dataValidation type="list" allowBlank="1" showInputMessage="1" showErrorMessage="1" sqref="G5" xr:uid="{DCAB533E-EF09-1045-B5C8-D73478245485}">
      <formula1>"1 - Preparatory,2 - Work Readiness,3 - First Work Review,4 - Follow-Up"</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7F76-43B9-4448-BB98-47DB56D13FA3}">
  <dimension ref="A1:K37"/>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2664</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350</v>
      </c>
      <c r="H3" s="239"/>
      <c r="I3" s="217" t="s">
        <v>229</v>
      </c>
      <c r="J3" s="239" t="s">
        <v>2066</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351</v>
      </c>
      <c r="B5" s="239"/>
      <c r="C5" s="240"/>
      <c r="D5" s="240"/>
      <c r="E5" s="240"/>
      <c r="F5" s="240"/>
      <c r="G5" s="240"/>
      <c r="H5" s="240"/>
      <c r="I5" s="216"/>
      <c r="J5" s="241"/>
      <c r="K5" s="240"/>
    </row>
    <row r="6" spans="1:11" ht="20" customHeight="1" x14ac:dyDescent="0.2">
      <c r="A6" s="242" t="s">
        <v>2073</v>
      </c>
      <c r="B6" s="242"/>
      <c r="C6" s="218" t="s">
        <v>2074</v>
      </c>
      <c r="D6" s="219">
        <f>COUNTA($B$8:$B$33)</f>
        <v>26</v>
      </c>
      <c r="E6" s="218" t="s">
        <v>188</v>
      </c>
      <c r="F6" s="219">
        <f>COUNTIF($G$8:$G$33,"Pass")</f>
        <v>0</v>
      </c>
      <c r="G6" s="218" t="s">
        <v>189</v>
      </c>
      <c r="H6" s="219">
        <f>COUNTIF($G$8:$G$33,"Fail")</f>
        <v>0</v>
      </c>
      <c r="I6" s="218" t="s">
        <v>132</v>
      </c>
      <c r="J6" s="243">
        <f>IF($D$6=0,0,($F$6+COUNTIF($G$8:$G$33,"N/A"))/$D$6)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2665</v>
      </c>
      <c r="C8" s="208"/>
      <c r="D8" s="208"/>
      <c r="E8" s="208"/>
      <c r="F8" s="208"/>
      <c r="G8" s="208"/>
      <c r="H8" s="209"/>
      <c r="I8" s="208"/>
      <c r="J8" s="208"/>
      <c r="K8" s="27"/>
    </row>
    <row r="9" spans="1:11" x14ac:dyDescent="0.2">
      <c r="A9" s="210">
        <v>2</v>
      </c>
      <c r="B9" s="36" t="s">
        <v>2666</v>
      </c>
      <c r="C9" s="106"/>
      <c r="D9" s="106"/>
      <c r="E9" s="106"/>
      <c r="F9" s="106"/>
      <c r="G9" s="106"/>
      <c r="H9" s="105"/>
      <c r="I9" s="106"/>
      <c r="J9" s="106"/>
      <c r="K9" s="28"/>
    </row>
    <row r="10" spans="1:11" x14ac:dyDescent="0.2">
      <c r="A10" s="210">
        <v>3</v>
      </c>
      <c r="B10" s="36" t="s">
        <v>2667</v>
      </c>
      <c r="C10" s="106"/>
      <c r="D10" s="106"/>
      <c r="E10" s="106"/>
      <c r="F10" s="106"/>
      <c r="G10" s="106"/>
      <c r="H10" s="105"/>
      <c r="I10" s="106"/>
      <c r="J10" s="106"/>
      <c r="K10" s="28"/>
    </row>
    <row r="11" spans="1:11" x14ac:dyDescent="0.2">
      <c r="A11" s="210">
        <v>4</v>
      </c>
      <c r="B11" s="36" t="s">
        <v>2668</v>
      </c>
      <c r="C11" s="106"/>
      <c r="D11" s="106"/>
      <c r="E11" s="106"/>
      <c r="F11" s="106"/>
      <c r="G11" s="106"/>
      <c r="H11" s="105"/>
      <c r="I11" s="106"/>
      <c r="J11" s="106"/>
      <c r="K11" s="28"/>
    </row>
    <row r="12" spans="1:11" x14ac:dyDescent="0.2">
      <c r="A12" s="210">
        <v>5</v>
      </c>
      <c r="B12" s="36" t="s">
        <v>2669</v>
      </c>
      <c r="C12" s="106"/>
      <c r="D12" s="106"/>
      <c r="E12" s="106"/>
      <c r="F12" s="106"/>
      <c r="G12" s="106"/>
      <c r="H12" s="105"/>
      <c r="I12" s="106"/>
      <c r="J12" s="106"/>
      <c r="K12" s="28"/>
    </row>
    <row r="13" spans="1:11" x14ac:dyDescent="0.2">
      <c r="A13" s="210">
        <v>6</v>
      </c>
      <c r="B13" s="36" t="s">
        <v>2670</v>
      </c>
      <c r="C13" s="106"/>
      <c r="D13" s="106"/>
      <c r="E13" s="106"/>
      <c r="F13" s="106"/>
      <c r="G13" s="106"/>
      <c r="H13" s="105"/>
      <c r="I13" s="106"/>
      <c r="J13" s="106"/>
      <c r="K13" s="28"/>
    </row>
    <row r="14" spans="1:11" x14ac:dyDescent="0.2">
      <c r="A14" s="210">
        <v>7</v>
      </c>
      <c r="B14" s="36" t="s">
        <v>2671</v>
      </c>
      <c r="C14" s="106"/>
      <c r="D14" s="106"/>
      <c r="E14" s="106"/>
      <c r="F14" s="106"/>
      <c r="G14" s="106"/>
      <c r="H14" s="105"/>
      <c r="I14" s="106"/>
      <c r="J14" s="106"/>
      <c r="K14" s="28"/>
    </row>
    <row r="15" spans="1:11" x14ac:dyDescent="0.2">
      <c r="A15" s="210">
        <v>8</v>
      </c>
      <c r="B15" s="36" t="s">
        <v>2672</v>
      </c>
      <c r="C15" s="106"/>
      <c r="D15" s="106"/>
      <c r="E15" s="106"/>
      <c r="F15" s="106"/>
      <c r="G15" s="106"/>
      <c r="H15" s="105"/>
      <c r="I15" s="106"/>
      <c r="J15" s="106"/>
      <c r="K15" s="28"/>
    </row>
    <row r="16" spans="1:11" x14ac:dyDescent="0.2">
      <c r="A16" s="210">
        <v>9</v>
      </c>
      <c r="B16" s="36" t="s">
        <v>2673</v>
      </c>
      <c r="C16" s="106"/>
      <c r="D16" s="106"/>
      <c r="E16" s="106"/>
      <c r="F16" s="106"/>
      <c r="G16" s="106"/>
      <c r="H16" s="105"/>
      <c r="I16" s="106"/>
      <c r="J16" s="106"/>
      <c r="K16" s="28"/>
    </row>
    <row r="17" spans="1:11" x14ac:dyDescent="0.2">
      <c r="A17" s="210">
        <v>10</v>
      </c>
      <c r="B17" s="36" t="s">
        <v>2674</v>
      </c>
      <c r="C17" s="106"/>
      <c r="D17" s="106"/>
      <c r="E17" s="106"/>
      <c r="F17" s="106"/>
      <c r="G17" s="106"/>
      <c r="H17" s="105"/>
      <c r="I17" s="106"/>
      <c r="J17" s="106"/>
      <c r="K17" s="28"/>
    </row>
    <row r="18" spans="1:11" x14ac:dyDescent="0.2">
      <c r="A18" s="210">
        <v>11</v>
      </c>
      <c r="B18" s="36" t="s">
        <v>2675</v>
      </c>
      <c r="C18" s="106"/>
      <c r="D18" s="106"/>
      <c r="E18" s="106"/>
      <c r="F18" s="106"/>
      <c r="G18" s="106"/>
      <c r="H18" s="105"/>
      <c r="I18" s="106"/>
      <c r="J18" s="106"/>
      <c r="K18" s="28"/>
    </row>
    <row r="19" spans="1:11" x14ac:dyDescent="0.2">
      <c r="A19" s="210">
        <v>12</v>
      </c>
      <c r="B19" s="36" t="s">
        <v>2676</v>
      </c>
      <c r="C19" s="106"/>
      <c r="D19" s="106"/>
      <c r="E19" s="106"/>
      <c r="F19" s="106"/>
      <c r="G19" s="106"/>
      <c r="H19" s="105"/>
      <c r="I19" s="106"/>
      <c r="J19" s="106"/>
      <c r="K19" s="28"/>
    </row>
    <row r="20" spans="1:11" x14ac:dyDescent="0.2">
      <c r="A20" s="210">
        <v>13</v>
      </c>
      <c r="B20" s="36" t="s">
        <v>2677</v>
      </c>
      <c r="C20" s="106"/>
      <c r="D20" s="106"/>
      <c r="E20" s="106"/>
      <c r="F20" s="106"/>
      <c r="G20" s="106"/>
      <c r="H20" s="105"/>
      <c r="I20" s="106"/>
      <c r="J20" s="106"/>
      <c r="K20" s="28"/>
    </row>
    <row r="21" spans="1:11" x14ac:dyDescent="0.2">
      <c r="A21" s="210">
        <v>14</v>
      </c>
      <c r="B21" s="36" t="s">
        <v>2678</v>
      </c>
      <c r="C21" s="106"/>
      <c r="D21" s="106"/>
      <c r="E21" s="106"/>
      <c r="F21" s="106"/>
      <c r="G21" s="106"/>
      <c r="H21" s="105"/>
      <c r="I21" s="106"/>
      <c r="J21" s="106"/>
      <c r="K21" s="28"/>
    </row>
    <row r="22" spans="1:11" x14ac:dyDescent="0.2">
      <c r="A22" s="210">
        <v>15</v>
      </c>
      <c r="B22" s="36" t="s">
        <v>2679</v>
      </c>
      <c r="C22" s="106"/>
      <c r="D22" s="106"/>
      <c r="E22" s="106"/>
      <c r="F22" s="106"/>
      <c r="G22" s="106"/>
      <c r="H22" s="105"/>
      <c r="I22" s="106"/>
      <c r="J22" s="106"/>
      <c r="K22" s="28"/>
    </row>
    <row r="23" spans="1:11" x14ac:dyDescent="0.2">
      <c r="A23" s="210">
        <v>16</v>
      </c>
      <c r="B23" s="36" t="s">
        <v>2680</v>
      </c>
      <c r="C23" s="106"/>
      <c r="D23" s="106"/>
      <c r="E23" s="106"/>
      <c r="F23" s="106"/>
      <c r="G23" s="106"/>
      <c r="H23" s="105"/>
      <c r="I23" s="106"/>
      <c r="J23" s="106"/>
      <c r="K23" s="28"/>
    </row>
    <row r="24" spans="1:11" x14ac:dyDescent="0.2">
      <c r="A24" s="210">
        <v>17</v>
      </c>
      <c r="B24" s="36" t="s">
        <v>2681</v>
      </c>
      <c r="C24" s="106"/>
      <c r="D24" s="106"/>
      <c r="E24" s="106"/>
      <c r="F24" s="106"/>
      <c r="G24" s="106"/>
      <c r="H24" s="105"/>
      <c r="I24" s="106"/>
      <c r="J24" s="106"/>
      <c r="K24" s="28"/>
    </row>
    <row r="25" spans="1:11" x14ac:dyDescent="0.2">
      <c r="A25" s="210">
        <v>18</v>
      </c>
      <c r="B25" s="36" t="s">
        <v>2682</v>
      </c>
      <c r="C25" s="106"/>
      <c r="D25" s="106"/>
      <c r="E25" s="106"/>
      <c r="F25" s="106"/>
      <c r="G25" s="106"/>
      <c r="H25" s="105"/>
      <c r="I25" s="106"/>
      <c r="J25" s="106"/>
      <c r="K25" s="28"/>
    </row>
    <row r="26" spans="1:11" x14ac:dyDescent="0.2">
      <c r="A26" s="210">
        <v>19</v>
      </c>
      <c r="B26" s="36" t="s">
        <v>2683</v>
      </c>
      <c r="C26" s="106"/>
      <c r="D26" s="106"/>
      <c r="E26" s="106"/>
      <c r="F26" s="106"/>
      <c r="G26" s="106"/>
      <c r="H26" s="105"/>
      <c r="I26" s="106"/>
      <c r="J26" s="106"/>
      <c r="K26" s="28"/>
    </row>
    <row r="27" spans="1:11" x14ac:dyDescent="0.2">
      <c r="A27" s="210">
        <v>20</v>
      </c>
      <c r="B27" s="36" t="s">
        <v>2684</v>
      </c>
      <c r="C27" s="106"/>
      <c r="D27" s="106"/>
      <c r="E27" s="106"/>
      <c r="F27" s="106"/>
      <c r="G27" s="106"/>
      <c r="H27" s="105"/>
      <c r="I27" s="106"/>
      <c r="J27" s="106"/>
      <c r="K27" s="28"/>
    </row>
    <row r="28" spans="1:11" x14ac:dyDescent="0.2">
      <c r="A28" s="210">
        <v>21</v>
      </c>
      <c r="B28" s="36" t="s">
        <v>2685</v>
      </c>
      <c r="C28" s="106"/>
      <c r="D28" s="106"/>
      <c r="E28" s="106"/>
      <c r="F28" s="106"/>
      <c r="G28" s="106"/>
      <c r="H28" s="105"/>
      <c r="I28" s="106"/>
      <c r="J28" s="106"/>
      <c r="K28" s="28"/>
    </row>
    <row r="29" spans="1:11" x14ac:dyDescent="0.2">
      <c r="A29" s="210">
        <v>22</v>
      </c>
      <c r="B29" s="36" t="s">
        <v>2686</v>
      </c>
      <c r="C29" s="106"/>
      <c r="D29" s="106"/>
      <c r="E29" s="106"/>
      <c r="F29" s="106"/>
      <c r="G29" s="106"/>
      <c r="H29" s="105"/>
      <c r="I29" s="106"/>
      <c r="J29" s="106"/>
      <c r="K29" s="28"/>
    </row>
    <row r="30" spans="1:11" x14ac:dyDescent="0.2">
      <c r="A30" s="210">
        <v>23</v>
      </c>
      <c r="B30" s="36" t="s">
        <v>2687</v>
      </c>
      <c r="C30" s="106"/>
      <c r="D30" s="106"/>
      <c r="E30" s="106"/>
      <c r="F30" s="106"/>
      <c r="G30" s="106"/>
      <c r="H30" s="105"/>
      <c r="I30" s="106"/>
      <c r="J30" s="106"/>
      <c r="K30" s="28"/>
    </row>
    <row r="31" spans="1:11" x14ac:dyDescent="0.2">
      <c r="A31" s="210">
        <v>24</v>
      </c>
      <c r="B31" s="36" t="s">
        <v>2688</v>
      </c>
      <c r="C31" s="106"/>
      <c r="D31" s="106"/>
      <c r="E31" s="106"/>
      <c r="F31" s="106"/>
      <c r="G31" s="106"/>
      <c r="H31" s="105"/>
      <c r="I31" s="106"/>
      <c r="J31" s="106"/>
      <c r="K31" s="28"/>
    </row>
    <row r="32" spans="1:11" x14ac:dyDescent="0.2">
      <c r="A32" s="210">
        <v>25</v>
      </c>
      <c r="B32" s="36" t="s">
        <v>2689</v>
      </c>
      <c r="C32" s="106"/>
      <c r="D32" s="106"/>
      <c r="E32" s="106"/>
      <c r="F32" s="106"/>
      <c r="G32" s="106"/>
      <c r="H32" s="105"/>
      <c r="I32" s="106"/>
      <c r="J32" s="106"/>
      <c r="K32" s="28"/>
    </row>
    <row r="33" spans="1:11" x14ac:dyDescent="0.2">
      <c r="A33" s="211">
        <v>26</v>
      </c>
      <c r="B33" s="212" t="s">
        <v>2690</v>
      </c>
      <c r="C33" s="213"/>
      <c r="D33" s="213"/>
      <c r="E33" s="213"/>
      <c r="F33" s="213"/>
      <c r="G33" s="213"/>
      <c r="H33" s="214"/>
      <c r="I33" s="213"/>
      <c r="J33" s="213"/>
      <c r="K33" s="215"/>
    </row>
    <row r="34" spans="1:11" x14ac:dyDescent="0.2">
      <c r="A34" s="4"/>
      <c r="B34" s="4"/>
      <c r="C34" s="4"/>
      <c r="D34" s="4"/>
      <c r="E34" s="4"/>
      <c r="F34" s="4"/>
      <c r="G34" s="4"/>
      <c r="H34" s="4"/>
      <c r="I34" s="4"/>
      <c r="J34" s="4"/>
      <c r="K34" s="4"/>
    </row>
    <row r="35" spans="1:11" ht="20" customHeight="1" x14ac:dyDescent="0.2">
      <c r="A35" s="245" t="s">
        <v>2102</v>
      </c>
      <c r="B35" s="245"/>
      <c r="C35" s="245"/>
      <c r="D35" s="245"/>
      <c r="E35" s="245"/>
      <c r="F35" s="245"/>
      <c r="G35" s="245"/>
      <c r="H35" s="245"/>
      <c r="I35" s="245"/>
      <c r="J35" s="245"/>
      <c r="K35" s="245"/>
    </row>
    <row r="36" spans="1:11" x14ac:dyDescent="0.2">
      <c r="A36" s="246" t="s">
        <v>2103</v>
      </c>
      <c r="B36" s="246"/>
      <c r="C36" s="246"/>
      <c r="D36" s="246" t="s">
        <v>2104</v>
      </c>
      <c r="E36" s="246"/>
      <c r="F36" s="246"/>
      <c r="G36" s="246" t="s">
        <v>2105</v>
      </c>
      <c r="H36" s="246"/>
      <c r="I36" s="246"/>
      <c r="J36" s="246" t="s">
        <v>973</v>
      </c>
      <c r="K36" s="246"/>
    </row>
    <row r="37" spans="1:11" ht="26" customHeight="1" x14ac:dyDescent="0.2">
      <c r="A37" s="235"/>
      <c r="B37" s="236"/>
      <c r="C37" s="236"/>
      <c r="D37" s="236"/>
      <c r="E37" s="236"/>
      <c r="F37" s="236"/>
      <c r="G37" s="236"/>
      <c r="H37" s="236"/>
      <c r="I37" s="236"/>
      <c r="J37" s="237"/>
      <c r="K37"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7:C37"/>
    <mergeCell ref="D37:F37"/>
    <mergeCell ref="G37:I37"/>
    <mergeCell ref="J37:K37"/>
    <mergeCell ref="A5:B5"/>
    <mergeCell ref="C5:D5"/>
    <mergeCell ref="E5:F5"/>
    <mergeCell ref="G5:H5"/>
    <mergeCell ref="J5:K5"/>
    <mergeCell ref="A6:B6"/>
    <mergeCell ref="J6:K6"/>
    <mergeCell ref="A35:K35"/>
    <mergeCell ref="A36:C36"/>
    <mergeCell ref="D36:F36"/>
    <mergeCell ref="G36:I36"/>
    <mergeCell ref="J36:K36"/>
  </mergeCells>
  <conditionalFormatting sqref="C8:F33">
    <cfRule type="containsText" dxfId="8" priority="3" operator="containsText" text="No">
      <formula>NOT(ISERROR(SEARCH("No",C8)))</formula>
    </cfRule>
  </conditionalFormatting>
  <conditionalFormatting sqref="G8:G33">
    <cfRule type="containsText" dxfId="7" priority="1" operator="containsText" text="Pass">
      <formula>NOT(ISERROR(SEARCH("Pass",G8)))</formula>
    </cfRule>
    <cfRule type="containsText" dxfId="6" priority="2" operator="containsText" text="Fail">
      <formula>NOT(ISERROR(SEARCH("Fail",G8)))</formula>
    </cfRule>
  </conditionalFormatting>
  <dataValidations count="3">
    <dataValidation type="list" allowBlank="1" showInputMessage="1" showErrorMessage="1" sqref="C8:C33 D8:D33 E8:E33 F8:F33" xr:uid="{FF0B560A-AC8A-5746-A725-EBF7A4330ECD}">
      <formula1>"Yes,No,N/A"</formula1>
    </dataValidation>
    <dataValidation type="list" allowBlank="1" showInputMessage="1" showErrorMessage="1" sqref="G8:G33" xr:uid="{56367E71-B589-5542-8D77-1CB1F26F819B}">
      <formula1>"Pass,Fail,N/A"</formula1>
    </dataValidation>
    <dataValidation type="list" allowBlank="1" showInputMessage="1" showErrorMessage="1" sqref="G5" xr:uid="{B5121C11-2B19-794A-839D-E3B7D733C3C0}">
      <formula1>"1 - Preparatory,2 - Work Readiness,3 - First Work Review,4 - Follow-Up"</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C8B4-608B-B049-84D4-22196E419D8E}">
  <dimension ref="A1:K35"/>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2691</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320</v>
      </c>
      <c r="H3" s="239"/>
      <c r="I3" s="217" t="s">
        <v>231</v>
      </c>
      <c r="J3" s="239" t="s">
        <v>2305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2692</v>
      </c>
      <c r="B5" s="239"/>
      <c r="C5" s="240"/>
      <c r="D5" s="240"/>
      <c r="E5" s="240"/>
      <c r="F5" s="240"/>
      <c r="G5" s="240"/>
      <c r="H5" s="240"/>
      <c r="I5" s="216"/>
      <c r="J5" s="241"/>
      <c r="K5" s="240"/>
    </row>
    <row r="6" spans="1:11" ht="20" customHeight="1" x14ac:dyDescent="0.2">
      <c r="A6" s="242" t="s">
        <v>2073</v>
      </c>
      <c r="B6" s="242"/>
      <c r="C6" s="218" t="s">
        <v>2074</v>
      </c>
      <c r="D6" s="219">
        <f>COUNTA($B$8:$B$31)</f>
        <v>24</v>
      </c>
      <c r="E6" s="218" t="s">
        <v>188</v>
      </c>
      <c r="F6" s="219">
        <f>COUNTIF($G$8:$G$31,"Pass")</f>
        <v>0</v>
      </c>
      <c r="G6" s="218" t="s">
        <v>189</v>
      </c>
      <c r="H6" s="219">
        <f>COUNTIF($G$8:$G$31,"Fail")</f>
        <v>0</v>
      </c>
      <c r="I6" s="218" t="s">
        <v>132</v>
      </c>
      <c r="J6" s="243">
        <f>IF($D$6=0,0,($F$6+COUNTIF($G$8:$G$31,"N/A"))/$D$6)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2693</v>
      </c>
      <c r="C8" s="208"/>
      <c r="D8" s="208"/>
      <c r="E8" s="208"/>
      <c r="F8" s="208"/>
      <c r="G8" s="208"/>
      <c r="H8" s="209"/>
      <c r="I8" s="208"/>
      <c r="J8" s="208"/>
      <c r="K8" s="27"/>
    </row>
    <row r="9" spans="1:11" x14ac:dyDescent="0.2">
      <c r="A9" s="210">
        <v>2</v>
      </c>
      <c r="B9" s="36" t="s">
        <v>2694</v>
      </c>
      <c r="C9" s="106"/>
      <c r="D9" s="106"/>
      <c r="E9" s="106"/>
      <c r="F9" s="106"/>
      <c r="G9" s="106"/>
      <c r="H9" s="105"/>
      <c r="I9" s="106"/>
      <c r="J9" s="106"/>
      <c r="K9" s="28"/>
    </row>
    <row r="10" spans="1:11" x14ac:dyDescent="0.2">
      <c r="A10" s="210">
        <v>3</v>
      </c>
      <c r="B10" s="36" t="s">
        <v>2695</v>
      </c>
      <c r="C10" s="106"/>
      <c r="D10" s="106"/>
      <c r="E10" s="106"/>
      <c r="F10" s="106"/>
      <c r="G10" s="106"/>
      <c r="H10" s="105"/>
      <c r="I10" s="106"/>
      <c r="J10" s="106"/>
      <c r="K10" s="28"/>
    </row>
    <row r="11" spans="1:11" x14ac:dyDescent="0.2">
      <c r="A11" s="210">
        <v>4</v>
      </c>
      <c r="B11" s="36" t="s">
        <v>2696</v>
      </c>
      <c r="C11" s="106"/>
      <c r="D11" s="106"/>
      <c r="E11" s="106"/>
      <c r="F11" s="106"/>
      <c r="G11" s="106"/>
      <c r="H11" s="105"/>
      <c r="I11" s="106"/>
      <c r="J11" s="106"/>
      <c r="K11" s="28"/>
    </row>
    <row r="12" spans="1:11" x14ac:dyDescent="0.2">
      <c r="A12" s="210">
        <v>5</v>
      </c>
      <c r="B12" s="36" t="s">
        <v>2697</v>
      </c>
      <c r="C12" s="106"/>
      <c r="D12" s="106"/>
      <c r="E12" s="106"/>
      <c r="F12" s="106"/>
      <c r="G12" s="106"/>
      <c r="H12" s="105"/>
      <c r="I12" s="106"/>
      <c r="J12" s="106"/>
      <c r="K12" s="28"/>
    </row>
    <row r="13" spans="1:11" x14ac:dyDescent="0.2">
      <c r="A13" s="210">
        <v>6</v>
      </c>
      <c r="B13" s="36" t="s">
        <v>2698</v>
      </c>
      <c r="C13" s="106"/>
      <c r="D13" s="106"/>
      <c r="E13" s="106"/>
      <c r="F13" s="106"/>
      <c r="G13" s="106"/>
      <c r="H13" s="105"/>
      <c r="I13" s="106"/>
      <c r="J13" s="106"/>
      <c r="K13" s="28"/>
    </row>
    <row r="14" spans="1:11" x14ac:dyDescent="0.2">
      <c r="A14" s="210">
        <v>7</v>
      </c>
      <c r="B14" s="36" t="s">
        <v>2699</v>
      </c>
      <c r="C14" s="106"/>
      <c r="D14" s="106"/>
      <c r="E14" s="106"/>
      <c r="F14" s="106"/>
      <c r="G14" s="106"/>
      <c r="H14" s="105"/>
      <c r="I14" s="106"/>
      <c r="J14" s="106"/>
      <c r="K14" s="28"/>
    </row>
    <row r="15" spans="1:11" x14ac:dyDescent="0.2">
      <c r="A15" s="210">
        <v>8</v>
      </c>
      <c r="B15" s="36" t="s">
        <v>2700</v>
      </c>
      <c r="C15" s="106"/>
      <c r="D15" s="106"/>
      <c r="E15" s="106"/>
      <c r="F15" s="106"/>
      <c r="G15" s="106"/>
      <c r="H15" s="105"/>
      <c r="I15" s="106"/>
      <c r="J15" s="106"/>
      <c r="K15" s="28"/>
    </row>
    <row r="16" spans="1:11" x14ac:dyDescent="0.2">
      <c r="A16" s="210">
        <v>9</v>
      </c>
      <c r="B16" s="36" t="s">
        <v>2701</v>
      </c>
      <c r="C16" s="106"/>
      <c r="D16" s="106"/>
      <c r="E16" s="106"/>
      <c r="F16" s="106"/>
      <c r="G16" s="106"/>
      <c r="H16" s="105"/>
      <c r="I16" s="106"/>
      <c r="J16" s="106"/>
      <c r="K16" s="28"/>
    </row>
    <row r="17" spans="1:11" x14ac:dyDescent="0.2">
      <c r="A17" s="210">
        <v>10</v>
      </c>
      <c r="B17" s="36" t="s">
        <v>2702</v>
      </c>
      <c r="C17" s="106"/>
      <c r="D17" s="106"/>
      <c r="E17" s="106"/>
      <c r="F17" s="106"/>
      <c r="G17" s="106"/>
      <c r="H17" s="105"/>
      <c r="I17" s="106"/>
      <c r="J17" s="106"/>
      <c r="K17" s="28"/>
    </row>
    <row r="18" spans="1:11" x14ac:dyDescent="0.2">
      <c r="A18" s="210">
        <v>11</v>
      </c>
      <c r="B18" s="36" t="s">
        <v>2641</v>
      </c>
      <c r="C18" s="106"/>
      <c r="D18" s="106"/>
      <c r="E18" s="106"/>
      <c r="F18" s="106"/>
      <c r="G18" s="106"/>
      <c r="H18" s="105"/>
      <c r="I18" s="106"/>
      <c r="J18" s="106"/>
      <c r="K18" s="28"/>
    </row>
    <row r="19" spans="1:11" x14ac:dyDescent="0.2">
      <c r="A19" s="210">
        <v>12</v>
      </c>
      <c r="B19" s="36" t="s">
        <v>2703</v>
      </c>
      <c r="C19" s="106"/>
      <c r="D19" s="106"/>
      <c r="E19" s="106"/>
      <c r="F19" s="106"/>
      <c r="G19" s="106"/>
      <c r="H19" s="105"/>
      <c r="I19" s="106"/>
      <c r="J19" s="106"/>
      <c r="K19" s="28"/>
    </row>
    <row r="20" spans="1:11" x14ac:dyDescent="0.2">
      <c r="A20" s="210">
        <v>13</v>
      </c>
      <c r="B20" s="36" t="s">
        <v>2704</v>
      </c>
      <c r="C20" s="106"/>
      <c r="D20" s="106"/>
      <c r="E20" s="106"/>
      <c r="F20" s="106"/>
      <c r="G20" s="106"/>
      <c r="H20" s="105"/>
      <c r="I20" s="106"/>
      <c r="J20" s="106"/>
      <c r="K20" s="28"/>
    </row>
    <row r="21" spans="1:11" x14ac:dyDescent="0.2">
      <c r="A21" s="210">
        <v>14</v>
      </c>
      <c r="B21" s="36" t="s">
        <v>2705</v>
      </c>
      <c r="C21" s="106"/>
      <c r="D21" s="106"/>
      <c r="E21" s="106"/>
      <c r="F21" s="106"/>
      <c r="G21" s="106"/>
      <c r="H21" s="105"/>
      <c r="I21" s="106"/>
      <c r="J21" s="106"/>
      <c r="K21" s="28"/>
    </row>
    <row r="22" spans="1:11" x14ac:dyDescent="0.2">
      <c r="A22" s="210">
        <v>15</v>
      </c>
      <c r="B22" s="36" t="s">
        <v>2706</v>
      </c>
      <c r="C22" s="106"/>
      <c r="D22" s="106"/>
      <c r="E22" s="106"/>
      <c r="F22" s="106"/>
      <c r="G22" s="106"/>
      <c r="H22" s="105"/>
      <c r="I22" s="106"/>
      <c r="J22" s="106"/>
      <c r="K22" s="28"/>
    </row>
    <row r="23" spans="1:11" x14ac:dyDescent="0.2">
      <c r="A23" s="210">
        <v>16</v>
      </c>
      <c r="B23" s="36" t="s">
        <v>2707</v>
      </c>
      <c r="C23" s="106"/>
      <c r="D23" s="106"/>
      <c r="E23" s="106"/>
      <c r="F23" s="106"/>
      <c r="G23" s="106"/>
      <c r="H23" s="105"/>
      <c r="I23" s="106"/>
      <c r="J23" s="106"/>
      <c r="K23" s="28"/>
    </row>
    <row r="24" spans="1:11" x14ac:dyDescent="0.2">
      <c r="A24" s="210">
        <v>17</v>
      </c>
      <c r="B24" s="36" t="s">
        <v>2708</v>
      </c>
      <c r="C24" s="106"/>
      <c r="D24" s="106"/>
      <c r="E24" s="106"/>
      <c r="F24" s="106"/>
      <c r="G24" s="106"/>
      <c r="H24" s="105"/>
      <c r="I24" s="106"/>
      <c r="J24" s="106"/>
      <c r="K24" s="28"/>
    </row>
    <row r="25" spans="1:11" x14ac:dyDescent="0.2">
      <c r="A25" s="210">
        <v>18</v>
      </c>
      <c r="B25" s="36" t="s">
        <v>2709</v>
      </c>
      <c r="C25" s="106"/>
      <c r="D25" s="106"/>
      <c r="E25" s="106"/>
      <c r="F25" s="106"/>
      <c r="G25" s="106"/>
      <c r="H25" s="105"/>
      <c r="I25" s="106"/>
      <c r="J25" s="106"/>
      <c r="K25" s="28"/>
    </row>
    <row r="26" spans="1:11" x14ac:dyDescent="0.2">
      <c r="A26" s="210">
        <v>19</v>
      </c>
      <c r="B26" s="36" t="s">
        <v>2710</v>
      </c>
      <c r="C26" s="106"/>
      <c r="D26" s="106"/>
      <c r="E26" s="106"/>
      <c r="F26" s="106"/>
      <c r="G26" s="106"/>
      <c r="H26" s="105"/>
      <c r="I26" s="106"/>
      <c r="J26" s="106"/>
      <c r="K26" s="28"/>
    </row>
    <row r="27" spans="1:11" x14ac:dyDescent="0.2">
      <c r="A27" s="210">
        <v>20</v>
      </c>
      <c r="B27" s="36" t="s">
        <v>2711</v>
      </c>
      <c r="C27" s="106"/>
      <c r="D27" s="106"/>
      <c r="E27" s="106"/>
      <c r="F27" s="106"/>
      <c r="G27" s="106"/>
      <c r="H27" s="105"/>
      <c r="I27" s="106"/>
      <c r="J27" s="106"/>
      <c r="K27" s="28"/>
    </row>
    <row r="28" spans="1:11" x14ac:dyDescent="0.2">
      <c r="A28" s="210">
        <v>21</v>
      </c>
      <c r="B28" s="36" t="s">
        <v>2712</v>
      </c>
      <c r="C28" s="106"/>
      <c r="D28" s="106"/>
      <c r="E28" s="106"/>
      <c r="F28" s="106"/>
      <c r="G28" s="106"/>
      <c r="H28" s="105"/>
      <c r="I28" s="106"/>
      <c r="J28" s="106"/>
      <c r="K28" s="28"/>
    </row>
    <row r="29" spans="1:11" x14ac:dyDescent="0.2">
      <c r="A29" s="210">
        <v>22</v>
      </c>
      <c r="B29" s="36" t="s">
        <v>2713</v>
      </c>
      <c r="C29" s="106"/>
      <c r="D29" s="106"/>
      <c r="E29" s="106"/>
      <c r="F29" s="106"/>
      <c r="G29" s="106"/>
      <c r="H29" s="105"/>
      <c r="I29" s="106"/>
      <c r="J29" s="106"/>
      <c r="K29" s="28"/>
    </row>
    <row r="30" spans="1:11" x14ac:dyDescent="0.2">
      <c r="A30" s="210">
        <v>23</v>
      </c>
      <c r="B30" s="36" t="s">
        <v>2714</v>
      </c>
      <c r="C30" s="106"/>
      <c r="D30" s="106"/>
      <c r="E30" s="106"/>
      <c r="F30" s="106"/>
      <c r="G30" s="106"/>
      <c r="H30" s="105"/>
      <c r="I30" s="106"/>
      <c r="J30" s="106"/>
      <c r="K30" s="28"/>
    </row>
    <row r="31" spans="1:11" x14ac:dyDescent="0.2">
      <c r="A31" s="211">
        <v>24</v>
      </c>
      <c r="B31" s="212" t="s">
        <v>2715</v>
      </c>
      <c r="C31" s="213"/>
      <c r="D31" s="213"/>
      <c r="E31" s="213"/>
      <c r="F31" s="213"/>
      <c r="G31" s="213"/>
      <c r="H31" s="214"/>
      <c r="I31" s="213"/>
      <c r="J31" s="213"/>
      <c r="K31" s="215"/>
    </row>
    <row r="32" spans="1:11" x14ac:dyDescent="0.2">
      <c r="A32" s="4"/>
      <c r="B32" s="4"/>
      <c r="C32" s="4"/>
      <c r="D32" s="4"/>
      <c r="E32" s="4"/>
      <c r="F32" s="4"/>
      <c r="G32" s="4"/>
      <c r="H32" s="4"/>
      <c r="I32" s="4"/>
      <c r="J32" s="4"/>
      <c r="K32" s="4"/>
    </row>
    <row r="33" spans="1:11" ht="20" customHeight="1" x14ac:dyDescent="0.2">
      <c r="A33" s="245" t="s">
        <v>2102</v>
      </c>
      <c r="B33" s="245"/>
      <c r="C33" s="245"/>
      <c r="D33" s="245"/>
      <c r="E33" s="245"/>
      <c r="F33" s="245"/>
      <c r="G33" s="245"/>
      <c r="H33" s="245"/>
      <c r="I33" s="245"/>
      <c r="J33" s="245"/>
      <c r="K33" s="245"/>
    </row>
    <row r="34" spans="1:11" x14ac:dyDescent="0.2">
      <c r="A34" s="246" t="s">
        <v>2103</v>
      </c>
      <c r="B34" s="246"/>
      <c r="C34" s="246"/>
      <c r="D34" s="246" t="s">
        <v>2104</v>
      </c>
      <c r="E34" s="246"/>
      <c r="F34" s="246"/>
      <c r="G34" s="246" t="s">
        <v>2105</v>
      </c>
      <c r="H34" s="246"/>
      <c r="I34" s="246"/>
      <c r="J34" s="246" t="s">
        <v>973</v>
      </c>
      <c r="K34" s="246"/>
    </row>
    <row r="35" spans="1:11" ht="26" customHeight="1" x14ac:dyDescent="0.2">
      <c r="A35" s="235"/>
      <c r="B35" s="236"/>
      <c r="C35" s="236"/>
      <c r="D35" s="236"/>
      <c r="E35" s="236"/>
      <c r="F35" s="236"/>
      <c r="G35" s="236"/>
      <c r="H35" s="236"/>
      <c r="I35" s="236"/>
      <c r="J35" s="237"/>
      <c r="K35"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5:C35"/>
    <mergeCell ref="D35:F35"/>
    <mergeCell ref="G35:I35"/>
    <mergeCell ref="J35:K35"/>
    <mergeCell ref="A5:B5"/>
    <mergeCell ref="C5:D5"/>
    <mergeCell ref="E5:F5"/>
    <mergeCell ref="G5:H5"/>
    <mergeCell ref="J5:K5"/>
    <mergeCell ref="A6:B6"/>
    <mergeCell ref="J6:K6"/>
    <mergeCell ref="A33:K33"/>
    <mergeCell ref="A34:C34"/>
    <mergeCell ref="D34:F34"/>
    <mergeCell ref="G34:I34"/>
    <mergeCell ref="J34:K34"/>
  </mergeCells>
  <conditionalFormatting sqref="C8:F31">
    <cfRule type="containsText" dxfId="5" priority="3" operator="containsText" text="No">
      <formula>NOT(ISERROR(SEARCH("No",C8)))</formula>
    </cfRule>
  </conditionalFormatting>
  <conditionalFormatting sqref="G8:G31">
    <cfRule type="containsText" dxfId="4" priority="1" operator="containsText" text="Pass">
      <formula>NOT(ISERROR(SEARCH("Pass",G8)))</formula>
    </cfRule>
    <cfRule type="containsText" dxfId="3" priority="2" operator="containsText" text="Fail">
      <formula>NOT(ISERROR(SEARCH("Fail",G8)))</formula>
    </cfRule>
  </conditionalFormatting>
  <dataValidations count="3">
    <dataValidation type="list" allowBlank="1" showInputMessage="1" showErrorMessage="1" sqref="C8:C31 D8:D31 E8:E31 F8:F31" xr:uid="{5AEFAF72-9518-884B-9461-685991C78A72}">
      <formula1>"Yes,No,N/A"</formula1>
    </dataValidation>
    <dataValidation type="list" allowBlank="1" showInputMessage="1" showErrorMessage="1" sqref="G8:G31" xr:uid="{FDD417A9-7FA6-F341-8EEE-0C82CC79A4EC}">
      <formula1>"Pass,Fail,N/A"</formula1>
    </dataValidation>
    <dataValidation type="list" allowBlank="1" showInputMessage="1" showErrorMessage="1" sqref="G5" xr:uid="{7F6D9422-05F0-3246-B79F-0603A4CDECFB}">
      <formula1>"1 - Preparatory,2 - Work Readiness,3 - First Work Review,4 - Follow-Up"</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A19B-85CF-3840-BD74-928D2C73F35A}">
  <dimension ref="A1:K39"/>
  <sheetViews>
    <sheetView workbookViewId="0">
      <pane ySplit="7" topLeftCell="A8" activePane="bottomLeft" state="frozen"/>
      <selection pane="bottomLeft" sqref="A1:O1"/>
    </sheetView>
  </sheetViews>
  <sheetFormatPr baseColWidth="10" defaultColWidth="11" defaultRowHeight="16" x14ac:dyDescent="0.2"/>
  <cols>
    <col min="1" max="1" width="5.33203125" style="3" customWidth="1"/>
    <col min="2" max="2" width="70" style="3" customWidth="1"/>
    <col min="3" max="4" width="8.6640625" style="3" customWidth="1"/>
    <col min="5" max="5" width="9.33203125" style="3" customWidth="1"/>
    <col min="6" max="6" width="10" style="3" customWidth="1"/>
    <col min="7" max="7" width="11" style="3" customWidth="1"/>
    <col min="8" max="8" width="13" style="3" customWidth="1"/>
    <col min="9" max="9" width="18.33203125" style="3" customWidth="1"/>
    <col min="10" max="10" width="13" style="3" customWidth="1"/>
    <col min="11" max="11" width="40" style="3" customWidth="1"/>
  </cols>
  <sheetData>
    <row r="1" spans="1:11" ht="28" customHeight="1" x14ac:dyDescent="0.2">
      <c r="A1" s="249" t="s">
        <v>2716</v>
      </c>
      <c r="B1" s="249"/>
      <c r="C1" s="249"/>
      <c r="D1" s="249"/>
      <c r="E1" s="249"/>
      <c r="F1" s="249"/>
      <c r="G1" s="249"/>
      <c r="H1" s="249"/>
      <c r="I1" s="249"/>
      <c r="J1" s="249"/>
      <c r="K1" s="249"/>
    </row>
    <row r="2" spans="1:11" ht="14" customHeight="1" x14ac:dyDescent="0.2">
      <c r="A2" s="247" t="s">
        <v>2060</v>
      </c>
      <c r="B2" s="247"/>
      <c r="C2" s="247" t="s">
        <v>2061</v>
      </c>
      <c r="D2" s="247"/>
      <c r="E2" s="247" t="s">
        <v>2062</v>
      </c>
      <c r="F2" s="247"/>
      <c r="G2" s="247" t="s">
        <v>2063</v>
      </c>
      <c r="H2" s="247"/>
      <c r="I2" s="234" t="s">
        <v>2064</v>
      </c>
      <c r="J2" s="247" t="s">
        <v>2065</v>
      </c>
      <c r="K2" s="247"/>
    </row>
    <row r="3" spans="1:11" ht="18" customHeight="1" x14ac:dyDescent="0.2">
      <c r="A3" s="248" t="s">
        <v>1</v>
      </c>
      <c r="B3" s="248"/>
      <c r="C3" s="240"/>
      <c r="D3" s="240"/>
      <c r="E3" s="240"/>
      <c r="F3" s="240"/>
      <c r="G3" s="239" t="s">
        <v>313</v>
      </c>
      <c r="H3" s="239"/>
      <c r="I3" s="217" t="s">
        <v>233</v>
      </c>
      <c r="J3" s="239" t="s">
        <v>2305</v>
      </c>
      <c r="K3" s="239"/>
    </row>
    <row r="4" spans="1:11" ht="14" customHeight="1" x14ac:dyDescent="0.2">
      <c r="A4" s="247" t="s">
        <v>2067</v>
      </c>
      <c r="B4" s="247"/>
      <c r="C4" s="247" t="s">
        <v>2068</v>
      </c>
      <c r="D4" s="247"/>
      <c r="E4" s="247" t="s">
        <v>2069</v>
      </c>
      <c r="F4" s="247"/>
      <c r="G4" s="247" t="s">
        <v>2070</v>
      </c>
      <c r="H4" s="247"/>
      <c r="I4" s="234" t="s">
        <v>2071</v>
      </c>
      <c r="J4" s="247" t="s">
        <v>2072</v>
      </c>
      <c r="K4" s="247"/>
    </row>
    <row r="5" spans="1:11" ht="18" customHeight="1" x14ac:dyDescent="0.2">
      <c r="A5" s="239" t="s">
        <v>2717</v>
      </c>
      <c r="B5" s="239"/>
      <c r="C5" s="240"/>
      <c r="D5" s="240"/>
      <c r="E5" s="240"/>
      <c r="F5" s="240"/>
      <c r="G5" s="240"/>
      <c r="H5" s="240"/>
      <c r="I5" s="216"/>
      <c r="J5" s="241"/>
      <c r="K5" s="240"/>
    </row>
    <row r="6" spans="1:11" ht="20" customHeight="1" x14ac:dyDescent="0.2">
      <c r="A6" s="242" t="s">
        <v>2073</v>
      </c>
      <c r="B6" s="242"/>
      <c r="C6" s="218" t="s">
        <v>2074</v>
      </c>
      <c r="D6" s="219">
        <f>COUNTA($B$8:$B$35)</f>
        <v>28</v>
      </c>
      <c r="E6" s="218" t="s">
        <v>188</v>
      </c>
      <c r="F6" s="219">
        <f>COUNTIF($G$8:$G$35,"Pass")</f>
        <v>0</v>
      </c>
      <c r="G6" s="218" t="s">
        <v>189</v>
      </c>
      <c r="H6" s="219">
        <f>COUNTIF($G$8:$G$35,"Fail")</f>
        <v>0</v>
      </c>
      <c r="I6" s="218" t="s">
        <v>132</v>
      </c>
      <c r="J6" s="243">
        <f>IF($D$6=0,0,($F$6+COUNTIF($G$8:$G$35,"N/A"))/$D$6)</f>
        <v>0</v>
      </c>
      <c r="K6" s="244"/>
    </row>
    <row r="7" spans="1:11" ht="32" customHeight="1" x14ac:dyDescent="0.2">
      <c r="A7" s="220" t="s">
        <v>1604</v>
      </c>
      <c r="B7" s="220" t="s">
        <v>2075</v>
      </c>
      <c r="C7" s="220" t="s">
        <v>2076</v>
      </c>
      <c r="D7" s="220" t="s">
        <v>2077</v>
      </c>
      <c r="E7" s="220" t="s">
        <v>2078</v>
      </c>
      <c r="F7" s="220" t="s">
        <v>2079</v>
      </c>
      <c r="G7" s="220" t="s">
        <v>446</v>
      </c>
      <c r="H7" s="220" t="s">
        <v>973</v>
      </c>
      <c r="I7" s="220" t="s">
        <v>2080</v>
      </c>
      <c r="J7" s="220" t="s">
        <v>2081</v>
      </c>
      <c r="K7" s="220" t="s">
        <v>2082</v>
      </c>
    </row>
    <row r="8" spans="1:11" x14ac:dyDescent="0.2">
      <c r="A8" s="207">
        <v>1</v>
      </c>
      <c r="B8" s="35" t="s">
        <v>2718</v>
      </c>
      <c r="C8" s="208"/>
      <c r="D8" s="208"/>
      <c r="E8" s="208"/>
      <c r="F8" s="208"/>
      <c r="G8" s="208"/>
      <c r="H8" s="209"/>
      <c r="I8" s="208"/>
      <c r="J8" s="208"/>
      <c r="K8" s="27"/>
    </row>
    <row r="9" spans="1:11" x14ac:dyDescent="0.2">
      <c r="A9" s="210">
        <v>2</v>
      </c>
      <c r="B9" s="36" t="s">
        <v>2719</v>
      </c>
      <c r="C9" s="106"/>
      <c r="D9" s="106"/>
      <c r="E9" s="106"/>
      <c r="F9" s="106"/>
      <c r="G9" s="106"/>
      <c r="H9" s="105"/>
      <c r="I9" s="106"/>
      <c r="J9" s="106"/>
      <c r="K9" s="28"/>
    </row>
    <row r="10" spans="1:11" x14ac:dyDescent="0.2">
      <c r="A10" s="210">
        <v>3</v>
      </c>
      <c r="B10" s="36" t="s">
        <v>2720</v>
      </c>
      <c r="C10" s="106"/>
      <c r="D10" s="106"/>
      <c r="E10" s="106"/>
      <c r="F10" s="106"/>
      <c r="G10" s="106"/>
      <c r="H10" s="105"/>
      <c r="I10" s="106"/>
      <c r="J10" s="106"/>
      <c r="K10" s="28"/>
    </row>
    <row r="11" spans="1:11" x14ac:dyDescent="0.2">
      <c r="A11" s="210">
        <v>4</v>
      </c>
      <c r="B11" s="36" t="s">
        <v>2721</v>
      </c>
      <c r="C11" s="106"/>
      <c r="D11" s="106"/>
      <c r="E11" s="106"/>
      <c r="F11" s="106"/>
      <c r="G11" s="106"/>
      <c r="H11" s="105"/>
      <c r="I11" s="106"/>
      <c r="J11" s="106"/>
      <c r="K11" s="28"/>
    </row>
    <row r="12" spans="1:11" x14ac:dyDescent="0.2">
      <c r="A12" s="210">
        <v>5</v>
      </c>
      <c r="B12" s="36" t="s">
        <v>2722</v>
      </c>
      <c r="C12" s="106"/>
      <c r="D12" s="106"/>
      <c r="E12" s="106"/>
      <c r="F12" s="106"/>
      <c r="G12" s="106"/>
      <c r="H12" s="105"/>
      <c r="I12" s="106"/>
      <c r="J12" s="106"/>
      <c r="K12" s="28"/>
    </row>
    <row r="13" spans="1:11" x14ac:dyDescent="0.2">
      <c r="A13" s="210">
        <v>6</v>
      </c>
      <c r="B13" s="36" t="s">
        <v>2723</v>
      </c>
      <c r="C13" s="106"/>
      <c r="D13" s="106"/>
      <c r="E13" s="106"/>
      <c r="F13" s="106"/>
      <c r="G13" s="106"/>
      <c r="H13" s="105"/>
      <c r="I13" s="106"/>
      <c r="J13" s="106"/>
      <c r="K13" s="28"/>
    </row>
    <row r="14" spans="1:11" x14ac:dyDescent="0.2">
      <c r="A14" s="210">
        <v>7</v>
      </c>
      <c r="B14" s="36" t="s">
        <v>2724</v>
      </c>
      <c r="C14" s="106"/>
      <c r="D14" s="106"/>
      <c r="E14" s="106"/>
      <c r="F14" s="106"/>
      <c r="G14" s="106"/>
      <c r="H14" s="105"/>
      <c r="I14" s="106"/>
      <c r="J14" s="106"/>
      <c r="K14" s="28"/>
    </row>
    <row r="15" spans="1:11" x14ac:dyDescent="0.2">
      <c r="A15" s="210">
        <v>8</v>
      </c>
      <c r="B15" s="36" t="s">
        <v>2618</v>
      </c>
      <c r="C15" s="106"/>
      <c r="D15" s="106"/>
      <c r="E15" s="106"/>
      <c r="F15" s="106"/>
      <c r="G15" s="106"/>
      <c r="H15" s="105"/>
      <c r="I15" s="106"/>
      <c r="J15" s="106"/>
      <c r="K15" s="28"/>
    </row>
    <row r="16" spans="1:11" x14ac:dyDescent="0.2">
      <c r="A16" s="210">
        <v>9</v>
      </c>
      <c r="B16" s="36" t="s">
        <v>2725</v>
      </c>
      <c r="C16" s="106"/>
      <c r="D16" s="106"/>
      <c r="E16" s="106"/>
      <c r="F16" s="106"/>
      <c r="G16" s="106"/>
      <c r="H16" s="105"/>
      <c r="I16" s="106"/>
      <c r="J16" s="106"/>
      <c r="K16" s="28"/>
    </row>
    <row r="17" spans="1:11" x14ac:dyDescent="0.2">
      <c r="A17" s="210">
        <v>10</v>
      </c>
      <c r="B17" s="36" t="s">
        <v>2726</v>
      </c>
      <c r="C17" s="106"/>
      <c r="D17" s="106"/>
      <c r="E17" s="106"/>
      <c r="F17" s="106"/>
      <c r="G17" s="106"/>
      <c r="H17" s="105"/>
      <c r="I17" s="106"/>
      <c r="J17" s="106"/>
      <c r="K17" s="28"/>
    </row>
    <row r="18" spans="1:11" x14ac:dyDescent="0.2">
      <c r="A18" s="210">
        <v>11</v>
      </c>
      <c r="B18" s="36" t="s">
        <v>2727</v>
      </c>
      <c r="C18" s="106"/>
      <c r="D18" s="106"/>
      <c r="E18" s="106"/>
      <c r="F18" s="106"/>
      <c r="G18" s="106"/>
      <c r="H18" s="105"/>
      <c r="I18" s="106"/>
      <c r="J18" s="106"/>
      <c r="K18" s="28"/>
    </row>
    <row r="19" spans="1:11" x14ac:dyDescent="0.2">
      <c r="A19" s="210">
        <v>12</v>
      </c>
      <c r="B19" s="36" t="s">
        <v>2728</v>
      </c>
      <c r="C19" s="106"/>
      <c r="D19" s="106"/>
      <c r="E19" s="106"/>
      <c r="F19" s="106"/>
      <c r="G19" s="106"/>
      <c r="H19" s="105"/>
      <c r="I19" s="106"/>
      <c r="J19" s="106"/>
      <c r="K19" s="28"/>
    </row>
    <row r="20" spans="1:11" x14ac:dyDescent="0.2">
      <c r="A20" s="210">
        <v>13</v>
      </c>
      <c r="B20" s="36" t="s">
        <v>2729</v>
      </c>
      <c r="C20" s="106"/>
      <c r="D20" s="106"/>
      <c r="E20" s="106"/>
      <c r="F20" s="106"/>
      <c r="G20" s="106"/>
      <c r="H20" s="105"/>
      <c r="I20" s="106"/>
      <c r="J20" s="106"/>
      <c r="K20" s="28"/>
    </row>
    <row r="21" spans="1:11" x14ac:dyDescent="0.2">
      <c r="A21" s="210">
        <v>14</v>
      </c>
      <c r="B21" s="36" t="s">
        <v>2730</v>
      </c>
      <c r="C21" s="106"/>
      <c r="D21" s="106"/>
      <c r="E21" s="106"/>
      <c r="F21" s="106"/>
      <c r="G21" s="106"/>
      <c r="H21" s="105"/>
      <c r="I21" s="106"/>
      <c r="J21" s="106"/>
      <c r="K21" s="28"/>
    </row>
    <row r="22" spans="1:11" x14ac:dyDescent="0.2">
      <c r="A22" s="210">
        <v>15</v>
      </c>
      <c r="B22" s="36" t="s">
        <v>2731</v>
      </c>
      <c r="C22" s="106"/>
      <c r="D22" s="106"/>
      <c r="E22" s="106"/>
      <c r="F22" s="106"/>
      <c r="G22" s="106"/>
      <c r="H22" s="105"/>
      <c r="I22" s="106"/>
      <c r="J22" s="106"/>
      <c r="K22" s="28"/>
    </row>
    <row r="23" spans="1:11" x14ac:dyDescent="0.2">
      <c r="A23" s="210">
        <v>16</v>
      </c>
      <c r="B23" s="36" t="s">
        <v>2732</v>
      </c>
      <c r="C23" s="106"/>
      <c r="D23" s="106"/>
      <c r="E23" s="106"/>
      <c r="F23" s="106"/>
      <c r="G23" s="106"/>
      <c r="H23" s="105"/>
      <c r="I23" s="106"/>
      <c r="J23" s="106"/>
      <c r="K23" s="28"/>
    </row>
    <row r="24" spans="1:11" x14ac:dyDescent="0.2">
      <c r="A24" s="210">
        <v>17</v>
      </c>
      <c r="B24" s="36" t="s">
        <v>2733</v>
      </c>
      <c r="C24" s="106"/>
      <c r="D24" s="106"/>
      <c r="E24" s="106"/>
      <c r="F24" s="106"/>
      <c r="G24" s="106"/>
      <c r="H24" s="105"/>
      <c r="I24" s="106"/>
      <c r="J24" s="106"/>
      <c r="K24" s="28"/>
    </row>
    <row r="25" spans="1:11" x14ac:dyDescent="0.2">
      <c r="A25" s="210">
        <v>18</v>
      </c>
      <c r="B25" s="36" t="s">
        <v>2734</v>
      </c>
      <c r="C25" s="106"/>
      <c r="D25" s="106"/>
      <c r="E25" s="106"/>
      <c r="F25" s="106"/>
      <c r="G25" s="106"/>
      <c r="H25" s="105"/>
      <c r="I25" s="106"/>
      <c r="J25" s="106"/>
      <c r="K25" s="28"/>
    </row>
    <row r="26" spans="1:11" x14ac:dyDescent="0.2">
      <c r="A26" s="210">
        <v>19</v>
      </c>
      <c r="B26" s="36" t="s">
        <v>2735</v>
      </c>
      <c r="C26" s="106"/>
      <c r="D26" s="106"/>
      <c r="E26" s="106"/>
      <c r="F26" s="106"/>
      <c r="G26" s="106"/>
      <c r="H26" s="105"/>
      <c r="I26" s="106"/>
      <c r="J26" s="106"/>
      <c r="K26" s="28"/>
    </row>
    <row r="27" spans="1:11" x14ac:dyDescent="0.2">
      <c r="A27" s="210">
        <v>20</v>
      </c>
      <c r="B27" s="36" t="s">
        <v>2736</v>
      </c>
      <c r="C27" s="106"/>
      <c r="D27" s="106"/>
      <c r="E27" s="106"/>
      <c r="F27" s="106"/>
      <c r="G27" s="106"/>
      <c r="H27" s="105"/>
      <c r="I27" s="106"/>
      <c r="J27" s="106"/>
      <c r="K27" s="28"/>
    </row>
    <row r="28" spans="1:11" x14ac:dyDescent="0.2">
      <c r="A28" s="210">
        <v>21</v>
      </c>
      <c r="B28" s="36" t="s">
        <v>2737</v>
      </c>
      <c r="C28" s="106"/>
      <c r="D28" s="106"/>
      <c r="E28" s="106"/>
      <c r="F28" s="106"/>
      <c r="G28" s="106"/>
      <c r="H28" s="105"/>
      <c r="I28" s="106"/>
      <c r="J28" s="106"/>
      <c r="K28" s="28"/>
    </row>
    <row r="29" spans="1:11" x14ac:dyDescent="0.2">
      <c r="A29" s="210">
        <v>22</v>
      </c>
      <c r="B29" s="36" t="s">
        <v>2738</v>
      </c>
      <c r="C29" s="106"/>
      <c r="D29" s="106"/>
      <c r="E29" s="106"/>
      <c r="F29" s="106"/>
      <c r="G29" s="106"/>
      <c r="H29" s="105"/>
      <c r="I29" s="106"/>
      <c r="J29" s="106"/>
      <c r="K29" s="28"/>
    </row>
    <row r="30" spans="1:11" x14ac:dyDescent="0.2">
      <c r="A30" s="210">
        <v>23</v>
      </c>
      <c r="B30" s="36" t="s">
        <v>2739</v>
      </c>
      <c r="C30" s="106"/>
      <c r="D30" s="106"/>
      <c r="E30" s="106"/>
      <c r="F30" s="106"/>
      <c r="G30" s="106"/>
      <c r="H30" s="105"/>
      <c r="I30" s="106"/>
      <c r="J30" s="106"/>
      <c r="K30" s="28"/>
    </row>
    <row r="31" spans="1:11" x14ac:dyDescent="0.2">
      <c r="A31" s="210">
        <v>24</v>
      </c>
      <c r="B31" s="36" t="s">
        <v>2740</v>
      </c>
      <c r="C31" s="106"/>
      <c r="D31" s="106"/>
      <c r="E31" s="106"/>
      <c r="F31" s="106"/>
      <c r="G31" s="106"/>
      <c r="H31" s="105"/>
      <c r="I31" s="106"/>
      <c r="J31" s="106"/>
      <c r="K31" s="28"/>
    </row>
    <row r="32" spans="1:11" x14ac:dyDescent="0.2">
      <c r="A32" s="210">
        <v>25</v>
      </c>
      <c r="B32" s="36" t="s">
        <v>2741</v>
      </c>
      <c r="C32" s="106"/>
      <c r="D32" s="106"/>
      <c r="E32" s="106"/>
      <c r="F32" s="106"/>
      <c r="G32" s="106"/>
      <c r="H32" s="105"/>
      <c r="I32" s="106"/>
      <c r="J32" s="106"/>
      <c r="K32" s="28"/>
    </row>
    <row r="33" spans="1:11" x14ac:dyDescent="0.2">
      <c r="A33" s="210">
        <v>26</v>
      </c>
      <c r="B33" s="36" t="s">
        <v>2742</v>
      </c>
      <c r="C33" s="106"/>
      <c r="D33" s="106"/>
      <c r="E33" s="106"/>
      <c r="F33" s="106"/>
      <c r="G33" s="106"/>
      <c r="H33" s="105"/>
      <c r="I33" s="106"/>
      <c r="J33" s="106"/>
      <c r="K33" s="28"/>
    </row>
    <row r="34" spans="1:11" x14ac:dyDescent="0.2">
      <c r="A34" s="210">
        <v>27</v>
      </c>
      <c r="B34" s="36" t="s">
        <v>2713</v>
      </c>
      <c r="C34" s="106"/>
      <c r="D34" s="106"/>
      <c r="E34" s="106"/>
      <c r="F34" s="106"/>
      <c r="G34" s="106"/>
      <c r="H34" s="105"/>
      <c r="I34" s="106"/>
      <c r="J34" s="106"/>
      <c r="K34" s="28"/>
    </row>
    <row r="35" spans="1:11" x14ac:dyDescent="0.2">
      <c r="A35" s="211">
        <v>28</v>
      </c>
      <c r="B35" s="212" t="s">
        <v>2743</v>
      </c>
      <c r="C35" s="213"/>
      <c r="D35" s="213"/>
      <c r="E35" s="213"/>
      <c r="F35" s="213"/>
      <c r="G35" s="213"/>
      <c r="H35" s="214"/>
      <c r="I35" s="213"/>
      <c r="J35" s="213"/>
      <c r="K35" s="215"/>
    </row>
    <row r="36" spans="1:11" x14ac:dyDescent="0.2">
      <c r="A36" s="4"/>
      <c r="B36" s="4"/>
      <c r="C36" s="4"/>
      <c r="D36" s="4"/>
      <c r="E36" s="4"/>
      <c r="F36" s="4"/>
      <c r="G36" s="4"/>
      <c r="H36" s="4"/>
      <c r="I36" s="4"/>
      <c r="J36" s="4"/>
      <c r="K36" s="4"/>
    </row>
    <row r="37" spans="1:11" ht="20" customHeight="1" x14ac:dyDescent="0.2">
      <c r="A37" s="245" t="s">
        <v>2102</v>
      </c>
      <c r="B37" s="245"/>
      <c r="C37" s="245"/>
      <c r="D37" s="245"/>
      <c r="E37" s="245"/>
      <c r="F37" s="245"/>
      <c r="G37" s="245"/>
      <c r="H37" s="245"/>
      <c r="I37" s="245"/>
      <c r="J37" s="245"/>
      <c r="K37" s="245"/>
    </row>
    <row r="38" spans="1:11" x14ac:dyDescent="0.2">
      <c r="A38" s="246" t="s">
        <v>2103</v>
      </c>
      <c r="B38" s="246"/>
      <c r="C38" s="246"/>
      <c r="D38" s="246" t="s">
        <v>2104</v>
      </c>
      <c r="E38" s="246"/>
      <c r="F38" s="246"/>
      <c r="G38" s="246" t="s">
        <v>2105</v>
      </c>
      <c r="H38" s="246"/>
      <c r="I38" s="246"/>
      <c r="J38" s="246" t="s">
        <v>973</v>
      </c>
      <c r="K38" s="246"/>
    </row>
    <row r="39" spans="1:11" ht="26" customHeight="1" x14ac:dyDescent="0.2">
      <c r="A39" s="235"/>
      <c r="B39" s="236"/>
      <c r="C39" s="236"/>
      <c r="D39" s="236"/>
      <c r="E39" s="236"/>
      <c r="F39" s="236"/>
      <c r="G39" s="236"/>
      <c r="H39" s="236"/>
      <c r="I39" s="236"/>
      <c r="J39" s="237"/>
      <c r="K39" s="238"/>
    </row>
  </sheetData>
  <mergeCells count="32">
    <mergeCell ref="A1:K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39:C39"/>
    <mergeCell ref="D39:F39"/>
    <mergeCell ref="G39:I39"/>
    <mergeCell ref="J39:K39"/>
    <mergeCell ref="A5:B5"/>
    <mergeCell ref="C5:D5"/>
    <mergeCell ref="E5:F5"/>
    <mergeCell ref="G5:H5"/>
    <mergeCell ref="J5:K5"/>
    <mergeCell ref="A6:B6"/>
    <mergeCell ref="J6:K6"/>
    <mergeCell ref="A37:K37"/>
    <mergeCell ref="A38:C38"/>
    <mergeCell ref="D38:F38"/>
    <mergeCell ref="G38:I38"/>
    <mergeCell ref="J38:K38"/>
  </mergeCells>
  <conditionalFormatting sqref="C8:F35">
    <cfRule type="containsText" dxfId="2" priority="3" operator="containsText" text="No">
      <formula>NOT(ISERROR(SEARCH("No",C8)))</formula>
    </cfRule>
  </conditionalFormatting>
  <conditionalFormatting sqref="G8:G35">
    <cfRule type="containsText" dxfId="1" priority="1" operator="containsText" text="Pass">
      <formula>NOT(ISERROR(SEARCH("Pass",G8)))</formula>
    </cfRule>
    <cfRule type="containsText" dxfId="0" priority="2" operator="containsText" text="Fail">
      <formula>NOT(ISERROR(SEARCH("Fail",G8)))</formula>
    </cfRule>
  </conditionalFormatting>
  <dataValidations count="3">
    <dataValidation type="list" allowBlank="1" showInputMessage="1" showErrorMessage="1" sqref="C8:C35 D8:D35 E8:E35 F8:F35" xr:uid="{EFB14D4B-0EF5-5142-8015-3EAE6B7D323B}">
      <formula1>"Yes,No,N/A"</formula1>
    </dataValidation>
    <dataValidation type="list" allowBlank="1" showInputMessage="1" showErrorMessage="1" sqref="G8:G35" xr:uid="{123ECF7A-A762-8841-84CF-FC6298B214CF}">
      <formula1>"Pass,Fail,N/A"</formula1>
    </dataValidation>
    <dataValidation type="list" allowBlank="1" showInputMessage="1" showErrorMessage="1" sqref="G5" xr:uid="{FCD921A6-443C-9C4D-9DCD-10E52A046860}">
      <formula1>"1 - Preparatory,2 - Work Readiness,3 - First Work Review,4 - Follow-Up"</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C81AED5F65C44F80CF6B62AD5ED0C4" ma:contentTypeVersion="16" ma:contentTypeDescription="Create a new document." ma:contentTypeScope="" ma:versionID="9a49418464aafd52186ea65bafc89593">
  <xsd:schema xmlns:xsd="http://www.w3.org/2001/XMLSchema" xmlns:xs="http://www.w3.org/2001/XMLSchema" xmlns:p="http://schemas.microsoft.com/office/2006/metadata/properties" xmlns:ns2="620a89a6-9d8c-4aec-a1b5-b8f92199351a" xmlns:ns3="792742ab-0c37-4031-8ece-c8ef841a946d" targetNamespace="http://schemas.microsoft.com/office/2006/metadata/properties" ma:root="true" ma:fieldsID="845fd3facffdd0489e1c42ae2ecce8af" ns2:_="" ns3:_="">
    <xsd:import namespace="620a89a6-9d8c-4aec-a1b5-b8f92199351a"/>
    <xsd:import namespace="792742ab-0c37-4031-8ece-c8ef841a946d"/>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SearchProperties" minOccurs="0"/>
                <xsd:element ref="ns2:AffectReview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0a89a6-9d8c-4aec-a1b5-b8f92199351a"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5038fd6-02aa-484c-b5d2-5fd893061a89"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AffectReviewComments" ma:index="23" nillable="true" ma:displayName="Affect Review Comments" ma:format="Dropdown" ma:internalName="AffectReviewComment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2742ab-0c37-4031-8ece-c8ef841a946d"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2d293f2-6446-46e9-a4b5-b33820054dfa}" ma:internalName="TaxCatchAll" ma:showField="CatchAllData" ma:web="792742ab-0c37-4031-8ece-c8ef841a946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92742ab-0c37-4031-8ece-c8ef841a946d" xsi:nil="true"/>
    <lcf76f155ced4ddcb4097134ff3c332f xmlns="620a89a6-9d8c-4aec-a1b5-b8f92199351a">
      <Terms xmlns="http://schemas.microsoft.com/office/infopath/2007/PartnerControls"/>
    </lcf76f155ced4ddcb4097134ff3c332f>
    <AffectReviewComments xmlns="620a89a6-9d8c-4aec-a1b5-b8f92199351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7422AE-8E06-4FEA-B9B6-3D8F7F5976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0a89a6-9d8c-4aec-a1b5-b8f92199351a"/>
    <ds:schemaRef ds:uri="792742ab-0c37-4031-8ece-c8ef841a94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1FA0E0-B9D2-4E09-8A27-D228D64A1A5D}">
  <ds:schemaRefs>
    <ds:schemaRef ds:uri="http://purl.org/dc/elements/1.1/"/>
    <ds:schemaRef ds:uri="620a89a6-9d8c-4aec-a1b5-b8f92199351a"/>
    <ds:schemaRef ds:uri="792742ab-0c37-4031-8ece-c8ef841a946d"/>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32437F9-C57A-4440-884C-9563558643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44</vt:i4>
      </vt:variant>
    </vt:vector>
  </HeadingPairs>
  <TitlesOfParts>
    <vt:vector size="44" baseType="lpstr">
      <vt:lpstr>COVER</vt:lpstr>
      <vt:lpstr>DASHBOARD</vt:lpstr>
      <vt:lpstr>Project Identifiers</vt:lpstr>
      <vt:lpstr>DFOW Risk Register</vt:lpstr>
      <vt:lpstr>ITP</vt:lpstr>
      <vt:lpstr>Path to TCO</vt:lpstr>
      <vt:lpstr>Path to Fire Alarm</vt:lpstr>
      <vt:lpstr>DOH Checklist</vt:lpstr>
      <vt:lpstr>Statutory Inspections</vt:lpstr>
      <vt:lpstr>Special Inspections</vt:lpstr>
      <vt:lpstr>Inspector Sign-In</vt:lpstr>
      <vt:lpstr>Commissioning</vt:lpstr>
      <vt:lpstr>Submittals &amp; Mockups</vt:lpstr>
      <vt:lpstr>Checklist</vt:lpstr>
      <vt:lpstr>Sample Size</vt:lpstr>
      <vt:lpstr>FlowChart</vt:lpstr>
      <vt:lpstr>NCR Log</vt:lpstr>
      <vt:lpstr>Punch &amp; RCL Log</vt:lpstr>
      <vt:lpstr>Excavation</vt:lpstr>
      <vt:lpstr>Concrete Formwork</vt:lpstr>
      <vt:lpstr>Conc Reinforcement</vt:lpstr>
      <vt:lpstr>CIP Concrete</vt:lpstr>
      <vt:lpstr>Precast Concrete</vt:lpstr>
      <vt:lpstr>Unit Masonry</vt:lpstr>
      <vt:lpstr>Metal Deck</vt:lpstr>
      <vt:lpstr>Slab on Grade</vt:lpstr>
      <vt:lpstr>Slab on Deck</vt:lpstr>
      <vt:lpstr>Waterproofing</vt:lpstr>
      <vt:lpstr>Drywall Framing</vt:lpstr>
      <vt:lpstr>Drywall Board</vt:lpstr>
      <vt:lpstr>Firestopping</vt:lpstr>
      <vt:lpstr>Metal Frames</vt:lpstr>
      <vt:lpstr>Metal Doors</vt:lpstr>
      <vt:lpstr>Doors &amp; Hardware</vt:lpstr>
      <vt:lpstr>Tile &amp; Stone</vt:lpstr>
      <vt:lpstr>Resilient Flooring</vt:lpstr>
      <vt:lpstr>ACT Ceilings</vt:lpstr>
      <vt:lpstr>Millwork &amp; Casework</vt:lpstr>
      <vt:lpstr>Painting</vt:lpstr>
      <vt:lpstr>Electrical</vt:lpstr>
      <vt:lpstr>Plumbing</vt:lpstr>
      <vt:lpstr>HVAC &amp; Ductwork</vt:lpstr>
      <vt:lpstr>Fire Sprinkler</vt:lpstr>
      <vt:lpstr>Fire Alarm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Cathal Egan</dc:creator>
  <cp:keywords/>
  <dc:description/>
  <cp:lastModifiedBy>Chris Mayer</cp:lastModifiedBy>
  <cp:revision/>
  <dcterms:created xsi:type="dcterms:W3CDTF">2025-06-30T23:36:31Z</dcterms:created>
  <dcterms:modified xsi:type="dcterms:W3CDTF">2026-08-14T18:13:45Z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0x010100C1C81AED5F65C44F80CF6B62AD5ED0C4</vt:lpwstr>
  </property>
  <property fmtid="{D5CDD505-2E9C-101B-9397-08002B2CF9AE}" pid="3" name="MediaServiceImageTags">
    <vt:lpwstr/>
  </property>
</Properties>
</file>